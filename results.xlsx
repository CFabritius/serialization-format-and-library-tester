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02"/>
  <workbookPr/>
  <xr:revisionPtr revIDLastSave="0" documentId="8_{22C52BDF-F0CF-4D6B-AB24-7D58D4352AB5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torage" sheetId="1" r:id="rId1"/>
    <sheet name="Performance" sheetId="3" r:id="rId2"/>
    <sheet name="MiniXML" sheetId="2" r:id="rId3"/>
    <sheet name="Jansson" sheetId="4" r:id="rId4"/>
    <sheet name="Parson" sheetId="5" r:id="rId5"/>
    <sheet name="cJSON" sheetId="6" r:id="rId6"/>
    <sheet name="msgpackc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7" i="3" l="1"/>
  <c r="L17" i="3"/>
  <c r="M17" i="3"/>
  <c r="N17" i="3"/>
  <c r="B10" i="1"/>
  <c r="C10" i="1"/>
  <c r="D10" i="1"/>
  <c r="E10" i="1"/>
  <c r="F10" i="1"/>
  <c r="G10" i="1"/>
  <c r="H10" i="1"/>
  <c r="I10" i="1"/>
  <c r="J10" i="1"/>
  <c r="K10" i="1"/>
  <c r="B11" i="1"/>
  <c r="C11" i="1"/>
  <c r="D11" i="1"/>
  <c r="E11" i="1"/>
  <c r="F11" i="1"/>
  <c r="G11" i="1"/>
  <c r="H11" i="1"/>
  <c r="I11" i="1"/>
  <c r="J11" i="1"/>
  <c r="K11" i="1"/>
  <c r="C9" i="1"/>
  <c r="D9" i="1"/>
  <c r="E9" i="1"/>
  <c r="F9" i="1"/>
  <c r="G9" i="1"/>
  <c r="H9" i="1"/>
  <c r="I9" i="1"/>
  <c r="J9" i="1"/>
  <c r="K9" i="1"/>
  <c r="B9" i="1"/>
  <c r="B16" i="1"/>
  <c r="C21" i="1"/>
  <c r="D21" i="1"/>
  <c r="E21" i="1"/>
  <c r="F21" i="1"/>
  <c r="G21" i="1"/>
  <c r="H21" i="1"/>
  <c r="I21" i="1"/>
  <c r="J21" i="1"/>
  <c r="K21" i="1"/>
  <c r="C20" i="1"/>
  <c r="D20" i="1"/>
  <c r="E20" i="1"/>
  <c r="F20" i="1"/>
  <c r="G20" i="1"/>
  <c r="H20" i="1"/>
  <c r="I20" i="1"/>
  <c r="J20" i="1"/>
  <c r="K20" i="1"/>
  <c r="B21" i="1"/>
  <c r="B20" i="1"/>
  <c r="B19" i="1"/>
  <c r="L20" i="1"/>
  <c r="L21" i="1"/>
  <c r="C19" i="1"/>
  <c r="D19" i="1"/>
  <c r="E19" i="1"/>
  <c r="F19" i="1"/>
  <c r="G19" i="1"/>
  <c r="H19" i="1"/>
  <c r="I19" i="1"/>
  <c r="J19" i="1"/>
  <c r="K19" i="1"/>
  <c r="C14" i="1"/>
  <c r="D14" i="1"/>
  <c r="E14" i="1"/>
  <c r="F14" i="1"/>
  <c r="G14" i="1"/>
  <c r="H14" i="1"/>
  <c r="I14" i="1"/>
  <c r="J14" i="1"/>
  <c r="K14" i="1"/>
  <c r="C15" i="1"/>
  <c r="D15" i="1"/>
  <c r="E15" i="1"/>
  <c r="F15" i="1"/>
  <c r="G15" i="1"/>
  <c r="H15" i="1"/>
  <c r="I15" i="1"/>
  <c r="J15" i="1"/>
  <c r="K15" i="1"/>
  <c r="C16" i="1"/>
  <c r="D16" i="1"/>
  <c r="E16" i="1"/>
  <c r="F16" i="1"/>
  <c r="G16" i="1"/>
  <c r="H16" i="1"/>
  <c r="I16" i="1"/>
  <c r="J16" i="1"/>
  <c r="K16" i="1"/>
  <c r="B15" i="1"/>
  <c r="B14" i="1"/>
  <c r="J28" i="3"/>
  <c r="K28" i="3"/>
  <c r="L28" i="3"/>
  <c r="M28" i="3"/>
  <c r="N28" i="3"/>
  <c r="J29" i="3"/>
  <c r="K29" i="3"/>
  <c r="L29" i="3"/>
  <c r="M29" i="3"/>
  <c r="N29" i="3"/>
  <c r="J30" i="3"/>
  <c r="K30" i="3"/>
  <c r="L30" i="3"/>
  <c r="M30" i="3"/>
  <c r="N30" i="3"/>
  <c r="J31" i="3"/>
  <c r="K31" i="3"/>
  <c r="L31" i="3"/>
  <c r="M31" i="3"/>
  <c r="N31" i="3"/>
  <c r="K27" i="3"/>
  <c r="L27" i="3"/>
  <c r="M27" i="3"/>
  <c r="N27" i="3"/>
  <c r="J27" i="3"/>
  <c r="B27" i="3"/>
  <c r="J21" i="3"/>
  <c r="K21" i="3"/>
  <c r="L21" i="3"/>
  <c r="M21" i="3"/>
  <c r="N21" i="3"/>
  <c r="J22" i="3"/>
  <c r="K22" i="3"/>
  <c r="L22" i="3"/>
  <c r="M22" i="3"/>
  <c r="N22" i="3"/>
  <c r="J23" i="3"/>
  <c r="K23" i="3"/>
  <c r="L23" i="3"/>
  <c r="M23" i="3"/>
  <c r="N23" i="3"/>
  <c r="J24" i="3"/>
  <c r="K24" i="3"/>
  <c r="L24" i="3"/>
  <c r="M24" i="3"/>
  <c r="N24" i="3"/>
  <c r="K20" i="3"/>
  <c r="L20" i="3"/>
  <c r="M20" i="3"/>
  <c r="N20" i="3"/>
  <c r="J20" i="3"/>
  <c r="B20" i="3"/>
  <c r="B28" i="3"/>
  <c r="C28" i="3"/>
  <c r="D28" i="3"/>
  <c r="E28" i="3"/>
  <c r="F28" i="3"/>
  <c r="B29" i="3"/>
  <c r="C29" i="3"/>
  <c r="D29" i="3"/>
  <c r="E29" i="3"/>
  <c r="F29" i="3"/>
  <c r="B30" i="3"/>
  <c r="C30" i="3"/>
  <c r="D30" i="3"/>
  <c r="E30" i="3"/>
  <c r="F30" i="3"/>
  <c r="B31" i="3"/>
  <c r="C31" i="3"/>
  <c r="D31" i="3"/>
  <c r="E31" i="3"/>
  <c r="F31" i="3"/>
  <c r="C27" i="3"/>
  <c r="D27" i="3"/>
  <c r="E27" i="3"/>
  <c r="F27" i="3"/>
  <c r="B21" i="3"/>
  <c r="C21" i="3"/>
  <c r="D21" i="3"/>
  <c r="E21" i="3"/>
  <c r="F21" i="3"/>
  <c r="B22" i="3"/>
  <c r="C22" i="3"/>
  <c r="D22" i="3"/>
  <c r="E22" i="3"/>
  <c r="F22" i="3"/>
  <c r="B23" i="3"/>
  <c r="C23" i="3"/>
  <c r="D23" i="3"/>
  <c r="E23" i="3"/>
  <c r="F23" i="3"/>
  <c r="B24" i="3"/>
  <c r="C24" i="3"/>
  <c r="D24" i="3"/>
  <c r="E24" i="3"/>
  <c r="F24" i="3"/>
  <c r="C20" i="3"/>
  <c r="D20" i="3"/>
  <c r="E20" i="3"/>
  <c r="F20" i="3"/>
  <c r="B7" i="3"/>
  <c r="C14" i="3"/>
  <c r="D14" i="3"/>
  <c r="E14" i="3"/>
  <c r="F14" i="3"/>
  <c r="K14" i="3"/>
  <c r="L14" i="3"/>
  <c r="M14" i="3"/>
  <c r="N14" i="3"/>
  <c r="J14" i="3"/>
  <c r="B14" i="3"/>
  <c r="K7" i="3"/>
  <c r="L7" i="3"/>
  <c r="M7" i="3"/>
  <c r="N7" i="3"/>
  <c r="J7" i="3"/>
  <c r="J6" i="3"/>
  <c r="C7" i="3"/>
  <c r="D7" i="3"/>
  <c r="E7" i="3"/>
  <c r="F7" i="3"/>
  <c r="N17" i="7"/>
  <c r="M17" i="7"/>
  <c r="L17" i="7"/>
  <c r="K17" i="7"/>
  <c r="J17" i="7"/>
  <c r="J17" i="3" s="1"/>
  <c r="F17" i="7"/>
  <c r="F17" i="3" s="1"/>
  <c r="E17" i="7"/>
  <c r="E17" i="3" s="1"/>
  <c r="D17" i="7"/>
  <c r="D17" i="3" s="1"/>
  <c r="C17" i="7"/>
  <c r="C17" i="3" s="1"/>
  <c r="B17" i="7"/>
  <c r="B17" i="3" s="1"/>
  <c r="N10" i="7"/>
  <c r="N10" i="3" s="1"/>
  <c r="M10" i="7"/>
  <c r="M10" i="3" s="1"/>
  <c r="L10" i="7"/>
  <c r="L10" i="3" s="1"/>
  <c r="K10" i="7"/>
  <c r="K10" i="3" s="1"/>
  <c r="J10" i="7"/>
  <c r="J10" i="3" s="1"/>
  <c r="F10" i="7"/>
  <c r="F10" i="3" s="1"/>
  <c r="E10" i="7"/>
  <c r="E10" i="3" s="1"/>
  <c r="D10" i="7"/>
  <c r="D10" i="3" s="1"/>
  <c r="C10" i="7"/>
  <c r="C10" i="3" s="1"/>
  <c r="B10" i="7"/>
  <c r="B10" i="3" s="1"/>
  <c r="N17" i="6"/>
  <c r="M17" i="6"/>
  <c r="L17" i="6"/>
  <c r="K17" i="6"/>
  <c r="J17" i="6"/>
  <c r="J16" i="3" s="1"/>
  <c r="F17" i="6"/>
  <c r="F16" i="3" s="1"/>
  <c r="E17" i="6"/>
  <c r="E16" i="3" s="1"/>
  <c r="D17" i="6"/>
  <c r="D16" i="3" s="1"/>
  <c r="C17" i="6"/>
  <c r="C16" i="3" s="1"/>
  <c r="B17" i="6"/>
  <c r="B16" i="3" s="1"/>
  <c r="N10" i="6"/>
  <c r="N9" i="3" s="1"/>
  <c r="M10" i="6"/>
  <c r="M9" i="3" s="1"/>
  <c r="L10" i="6"/>
  <c r="L9" i="3" s="1"/>
  <c r="K10" i="6"/>
  <c r="K9" i="3" s="1"/>
  <c r="J10" i="6"/>
  <c r="J9" i="3" s="1"/>
  <c r="F10" i="6"/>
  <c r="F9" i="3" s="1"/>
  <c r="E10" i="6"/>
  <c r="E9" i="3" s="1"/>
  <c r="D10" i="6"/>
  <c r="D9" i="3" s="1"/>
  <c r="C10" i="6"/>
  <c r="C9" i="3" s="1"/>
  <c r="B10" i="6"/>
  <c r="B9" i="3" s="1"/>
  <c r="N17" i="5"/>
  <c r="N15" i="3" s="1"/>
  <c r="M17" i="5"/>
  <c r="M15" i="3" s="1"/>
  <c r="L17" i="5"/>
  <c r="L15" i="3" s="1"/>
  <c r="K17" i="5"/>
  <c r="K15" i="3" s="1"/>
  <c r="J17" i="5"/>
  <c r="J15" i="3" s="1"/>
  <c r="F17" i="5"/>
  <c r="F15" i="3" s="1"/>
  <c r="E17" i="5"/>
  <c r="E15" i="3" s="1"/>
  <c r="D17" i="5"/>
  <c r="D15" i="3" s="1"/>
  <c r="C17" i="5"/>
  <c r="C15" i="3" s="1"/>
  <c r="B17" i="5"/>
  <c r="B15" i="3" s="1"/>
  <c r="N10" i="5"/>
  <c r="N8" i="3" s="1"/>
  <c r="M10" i="5"/>
  <c r="M8" i="3" s="1"/>
  <c r="L10" i="5"/>
  <c r="L8" i="3" s="1"/>
  <c r="K10" i="5"/>
  <c r="K8" i="3" s="1"/>
  <c r="J10" i="5"/>
  <c r="J8" i="3" s="1"/>
  <c r="F10" i="5"/>
  <c r="F8" i="3" s="1"/>
  <c r="E10" i="5"/>
  <c r="E8" i="3" s="1"/>
  <c r="D10" i="5"/>
  <c r="D8" i="3" s="1"/>
  <c r="C10" i="5"/>
  <c r="C8" i="3" s="1"/>
  <c r="B10" i="5"/>
  <c r="B8" i="3" s="1"/>
  <c r="N17" i="4"/>
  <c r="M17" i="4"/>
  <c r="L17" i="4"/>
  <c r="K17" i="4"/>
  <c r="J17" i="4"/>
  <c r="N10" i="4"/>
  <c r="M10" i="4"/>
  <c r="L10" i="4"/>
  <c r="K10" i="4"/>
  <c r="J10" i="4"/>
  <c r="C17" i="4"/>
  <c r="D17" i="4"/>
  <c r="E17" i="4"/>
  <c r="F17" i="4"/>
  <c r="B17" i="4"/>
  <c r="C10" i="4"/>
  <c r="D10" i="4"/>
  <c r="E10" i="4"/>
  <c r="F10" i="4"/>
  <c r="B10" i="4"/>
  <c r="N3" i="7"/>
  <c r="M3" i="7"/>
  <c r="L3" i="7"/>
  <c r="K3" i="7"/>
  <c r="J3" i="7"/>
  <c r="I3" i="7"/>
  <c r="F3" i="7"/>
  <c r="E3" i="7"/>
  <c r="D3" i="7"/>
  <c r="C3" i="7"/>
  <c r="B3" i="7"/>
  <c r="A3" i="7"/>
  <c r="N2" i="7"/>
  <c r="M2" i="7"/>
  <c r="L2" i="7"/>
  <c r="K2" i="7"/>
  <c r="J2" i="7"/>
  <c r="I2" i="7"/>
  <c r="F2" i="7"/>
  <c r="E2" i="7"/>
  <c r="D2" i="7"/>
  <c r="C2" i="7"/>
  <c r="B2" i="7"/>
  <c r="A2" i="7"/>
  <c r="I1" i="7"/>
  <c r="A1" i="7"/>
  <c r="N3" i="6"/>
  <c r="M3" i="6"/>
  <c r="L3" i="6"/>
  <c r="K3" i="6"/>
  <c r="J3" i="6"/>
  <c r="I3" i="6"/>
  <c r="F3" i="6"/>
  <c r="E3" i="6"/>
  <c r="D3" i="6"/>
  <c r="C3" i="6"/>
  <c r="B3" i="6"/>
  <c r="A3" i="6"/>
  <c r="N2" i="6"/>
  <c r="M2" i="6"/>
  <c r="L2" i="6"/>
  <c r="K2" i="6"/>
  <c r="J2" i="6"/>
  <c r="I2" i="6"/>
  <c r="F2" i="6"/>
  <c r="E2" i="6"/>
  <c r="D2" i="6"/>
  <c r="C2" i="6"/>
  <c r="B2" i="6"/>
  <c r="A2" i="6"/>
  <c r="I1" i="6"/>
  <c r="A1" i="6"/>
  <c r="N3" i="5"/>
  <c r="M3" i="5"/>
  <c r="L3" i="5"/>
  <c r="K3" i="5"/>
  <c r="J3" i="5"/>
  <c r="I3" i="5"/>
  <c r="F3" i="5"/>
  <c r="E3" i="5"/>
  <c r="D3" i="5"/>
  <c r="C3" i="5"/>
  <c r="B3" i="5"/>
  <c r="A3" i="5"/>
  <c r="N2" i="5"/>
  <c r="M2" i="5"/>
  <c r="L2" i="5"/>
  <c r="K2" i="5"/>
  <c r="J2" i="5"/>
  <c r="I2" i="5"/>
  <c r="F2" i="5"/>
  <c r="E2" i="5"/>
  <c r="D2" i="5"/>
  <c r="C2" i="5"/>
  <c r="B2" i="5"/>
  <c r="A2" i="5"/>
  <c r="I1" i="5"/>
  <c r="A1" i="5"/>
  <c r="N3" i="4"/>
  <c r="M3" i="4"/>
  <c r="L3" i="4"/>
  <c r="K3" i="4"/>
  <c r="J3" i="4"/>
  <c r="I3" i="4"/>
  <c r="F3" i="4"/>
  <c r="E3" i="4"/>
  <c r="D3" i="4"/>
  <c r="C3" i="4"/>
  <c r="B3" i="4"/>
  <c r="A3" i="4"/>
  <c r="N2" i="4"/>
  <c r="M2" i="4"/>
  <c r="L2" i="4"/>
  <c r="K2" i="4"/>
  <c r="J2" i="4"/>
  <c r="I2" i="4"/>
  <c r="F2" i="4"/>
  <c r="E2" i="4"/>
  <c r="D2" i="4"/>
  <c r="C2" i="4"/>
  <c r="B2" i="4"/>
  <c r="A2" i="4"/>
  <c r="I1" i="4"/>
  <c r="A1" i="4"/>
  <c r="K13" i="3"/>
  <c r="L13" i="3"/>
  <c r="M13" i="3"/>
  <c r="N13" i="3"/>
  <c r="K6" i="3"/>
  <c r="L6" i="3"/>
  <c r="M6" i="3"/>
  <c r="N6" i="3"/>
  <c r="J13" i="3"/>
  <c r="B6" i="3"/>
  <c r="C13" i="3"/>
  <c r="D13" i="3"/>
  <c r="E13" i="3"/>
  <c r="F13" i="3"/>
  <c r="B13" i="3"/>
  <c r="C6" i="3"/>
  <c r="D6" i="3"/>
  <c r="E6" i="3"/>
  <c r="F6" i="3"/>
  <c r="J3" i="2"/>
  <c r="K3" i="2"/>
  <c r="L3" i="2"/>
  <c r="M3" i="2"/>
  <c r="N3" i="2"/>
  <c r="J2" i="2"/>
  <c r="K2" i="2"/>
  <c r="L2" i="2"/>
  <c r="M2" i="2"/>
  <c r="N2" i="2"/>
  <c r="I2" i="2"/>
  <c r="I3" i="2"/>
  <c r="I1" i="2"/>
  <c r="A1" i="2"/>
  <c r="B3" i="2"/>
  <c r="C3" i="2"/>
  <c r="D3" i="2"/>
  <c r="E3" i="2"/>
  <c r="F3" i="2"/>
  <c r="C2" i="2"/>
  <c r="D2" i="2"/>
  <c r="E2" i="2"/>
  <c r="F2" i="2"/>
  <c r="B2" i="2"/>
  <c r="A2" i="2"/>
  <c r="A3" i="2"/>
  <c r="J10" i="2"/>
  <c r="K10" i="2"/>
  <c r="L10" i="2"/>
  <c r="M10" i="2"/>
  <c r="N10" i="2"/>
  <c r="N17" i="2"/>
  <c r="J17" i="2"/>
  <c r="K17" i="2"/>
  <c r="L17" i="2"/>
  <c r="M17" i="2"/>
  <c r="C17" i="2"/>
  <c r="D17" i="2"/>
  <c r="E17" i="2"/>
  <c r="F17" i="2"/>
  <c r="B17" i="2"/>
  <c r="B10" i="2"/>
  <c r="D10" i="2"/>
  <c r="E10" i="2"/>
  <c r="F10" i="2"/>
  <c r="C10" i="2"/>
  <c r="L19" i="1" l="1"/>
  <c r="K16" i="3"/>
  <c r="L16" i="3"/>
  <c r="M16" i="3"/>
  <c r="N16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Fabritius, C.H.J. (Casper)</author>
  </authors>
  <commentList>
    <comment ref="A2" authorId="0" shapeId="0" xr:uid="{9375BAA5-6BB0-4875-AB50-E03B939B6854}">
      <text>
        <r>
          <rPr>
            <sz val="11"/>
            <color theme="1"/>
            <rFont val="Aptos Narrow"/>
            <family val="2"/>
            <scheme val="minor"/>
          </rPr>
          <t>Fabritius, C.H.J. (Casper):
For all formats: Depth ranges between 14 and 20 and the breadth is set to 2, so that every extra layer doubles the total number of nodes. The results are in bytes.</t>
        </r>
      </text>
    </comment>
  </commentList>
</comments>
</file>

<file path=xl/sharedStrings.xml><?xml version="1.0" encoding="utf-8"?>
<sst xmlns="http://schemas.openxmlformats.org/spreadsheetml/2006/main" count="214" uniqueCount="32">
  <si>
    <t>Breadth = 3</t>
  </si>
  <si>
    <t>Depth</t>
  </si>
  <si>
    <t>Node count</t>
  </si>
  <si>
    <t>Bytes</t>
  </si>
  <si>
    <t>XML</t>
  </si>
  <si>
    <t>JSON</t>
  </si>
  <si>
    <t>MessagePack</t>
  </si>
  <si>
    <t>Kilobytes</t>
  </si>
  <si>
    <t>Bytes / node</t>
  </si>
  <si>
    <t>Percentage difference</t>
  </si>
  <si>
    <t>Average</t>
  </si>
  <si>
    <t>XML - JSON</t>
  </si>
  <si>
    <t>JSON - MessagePack</t>
  </si>
  <si>
    <t>XML - MessagePack</t>
  </si>
  <si>
    <t>Depth = 6</t>
  </si>
  <si>
    <t>Breadth</t>
  </si>
  <si>
    <t>Serialization (ms)</t>
  </si>
  <si>
    <t>Mini-XML</t>
  </si>
  <si>
    <t>Jansson</t>
  </si>
  <si>
    <t>Parson</t>
  </si>
  <si>
    <t>cJSON</t>
  </si>
  <si>
    <t>msgpack-c</t>
  </si>
  <si>
    <t>Deserialization (ms)</t>
  </si>
  <si>
    <t>Serialization (microsecs / node)</t>
  </si>
  <si>
    <t>Deserialization (microsecs / node)</t>
  </si>
  <si>
    <t>Serialization</t>
  </si>
  <si>
    <t>Run 1</t>
  </si>
  <si>
    <t>Run 2</t>
  </si>
  <si>
    <t>Run 3</t>
  </si>
  <si>
    <t>Run 4</t>
  </si>
  <si>
    <t>Run 5</t>
  </si>
  <si>
    <t>Deserialization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</si>
</sst>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0" fontId="0" fillId="0" borderId="0" xfId="0" applyNumberFormat="1"/>
    <xf numFmtId="0" fontId="1" fillId="0" borderId="0" xfId="0" applyFont="1"/>
    <xf numFmtId="0" fontId="2" fillId="0" borderId="0" xfId="0" applyFont="1"/>
  </cellXfs>
  <cellStyles count="1">
    <cellStyle name="Standa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1"/>
  <sheetViews>
    <sheetView tabSelected="1" workbookViewId="0"/>
  </sheetViews>
  <sheetFormatPr defaultRowHeight="15"/>
  <cols>
    <col min="1" max="1" width="22.140625" customWidth="1"/>
    <col min="2" max="2" width="11.28515625" customWidth="1"/>
    <col min="3" max="3" width="11.5703125" customWidth="1"/>
    <col min="4" max="4" width="10.85546875" customWidth="1"/>
    <col min="5" max="5" width="11.28515625" customWidth="1"/>
    <col min="6" max="6" width="11.42578125" customWidth="1"/>
    <col min="7" max="7" width="12.85546875" customWidth="1"/>
    <col min="8" max="8" width="10.7109375" customWidth="1"/>
  </cols>
  <sheetData>
    <row r="1" spans="1:11">
      <c r="A1" t="s">
        <v>0</v>
      </c>
    </row>
    <row r="2" spans="1:11">
      <c r="A2" s="1" t="s">
        <v>1</v>
      </c>
      <c r="B2">
        <v>5</v>
      </c>
      <c r="C2">
        <v>6</v>
      </c>
      <c r="D2">
        <v>7</v>
      </c>
      <c r="E2">
        <v>8</v>
      </c>
      <c r="F2">
        <v>9</v>
      </c>
      <c r="G2">
        <v>10</v>
      </c>
      <c r="H2">
        <v>11</v>
      </c>
      <c r="I2">
        <v>12</v>
      </c>
      <c r="J2">
        <v>13</v>
      </c>
      <c r="K2">
        <v>14</v>
      </c>
    </row>
    <row r="3" spans="1:11">
      <c r="A3" t="s">
        <v>2</v>
      </c>
      <c r="B3">
        <v>121</v>
      </c>
      <c r="C3">
        <v>364</v>
      </c>
      <c r="D3">
        <v>1093</v>
      </c>
      <c r="E3">
        <v>3280</v>
      </c>
      <c r="F3">
        <v>9841</v>
      </c>
      <c r="G3">
        <v>29524</v>
      </c>
      <c r="H3">
        <v>88573</v>
      </c>
      <c r="I3">
        <v>265720</v>
      </c>
      <c r="J3">
        <v>797161</v>
      </c>
      <c r="K3">
        <v>2391484</v>
      </c>
    </row>
    <row r="4" spans="1:11">
      <c r="A4" s="3" t="s">
        <v>3</v>
      </c>
    </row>
    <row r="5" spans="1:11">
      <c r="A5" t="s">
        <v>4</v>
      </c>
      <c r="B5">
        <v>7616</v>
      </c>
      <c r="C5">
        <v>23136</v>
      </c>
      <c r="D5">
        <v>69764</v>
      </c>
      <c r="E5">
        <v>211525</v>
      </c>
      <c r="F5">
        <v>636696</v>
      </c>
      <c r="G5">
        <v>1932002</v>
      </c>
      <c r="H5">
        <v>5818271</v>
      </c>
      <c r="I5">
        <v>17643231</v>
      </c>
      <c r="J5">
        <v>53151921</v>
      </c>
      <c r="K5">
        <v>161069732</v>
      </c>
    </row>
    <row r="6" spans="1:11">
      <c r="A6" t="s">
        <v>5</v>
      </c>
      <c r="B6">
        <v>5279</v>
      </c>
      <c r="C6">
        <v>16101</v>
      </c>
      <c r="D6">
        <v>48635</v>
      </c>
      <c r="E6">
        <v>148114</v>
      </c>
      <c r="F6">
        <v>446439</v>
      </c>
      <c r="G6">
        <v>1361207</v>
      </c>
      <c r="H6">
        <v>4105862</v>
      </c>
      <c r="I6">
        <v>12505980</v>
      </c>
      <c r="J6">
        <v>37740144</v>
      </c>
      <c r="K6">
        <v>114834377</v>
      </c>
    </row>
    <row r="7" spans="1:11">
      <c r="A7" t="s">
        <v>6</v>
      </c>
      <c r="B7">
        <v>3146</v>
      </c>
      <c r="C7">
        <v>9808</v>
      </c>
      <c r="D7">
        <v>30220</v>
      </c>
      <c r="E7">
        <v>91456</v>
      </c>
      <c r="F7">
        <v>275164</v>
      </c>
      <c r="G7">
        <v>826286</v>
      </c>
      <c r="H7">
        <v>2525724</v>
      </c>
      <c r="I7">
        <v>7840126</v>
      </c>
      <c r="J7">
        <v>23783320</v>
      </c>
      <c r="K7">
        <v>71612904</v>
      </c>
    </row>
    <row r="8" spans="1:11">
      <c r="A8" s="3" t="s">
        <v>7</v>
      </c>
    </row>
    <row r="9" spans="1:11">
      <c r="A9" t="s">
        <v>4</v>
      </c>
      <c r="B9">
        <f>B5/1000</f>
        <v>7.6159999999999997</v>
      </c>
      <c r="C9">
        <f>C5/1000</f>
        <v>23.135999999999999</v>
      </c>
      <c r="D9">
        <f>D5/1000</f>
        <v>69.763999999999996</v>
      </c>
      <c r="E9">
        <f>E5/1000</f>
        <v>211.52500000000001</v>
      </c>
      <c r="F9">
        <f>F5/1000</f>
        <v>636.69600000000003</v>
      </c>
      <c r="G9">
        <f>G5/1000</f>
        <v>1932.002</v>
      </c>
      <c r="H9">
        <f>H5/1000</f>
        <v>5818.2709999999997</v>
      </c>
      <c r="I9">
        <f>I5/1000</f>
        <v>17643.231</v>
      </c>
      <c r="J9">
        <f>J5/1000</f>
        <v>53151.921000000002</v>
      </c>
      <c r="K9">
        <f>K5/1000</f>
        <v>161069.73199999999</v>
      </c>
    </row>
    <row r="10" spans="1:11">
      <c r="A10" t="s">
        <v>5</v>
      </c>
      <c r="B10">
        <f>B6/1000</f>
        <v>5.2789999999999999</v>
      </c>
      <c r="C10">
        <f>C6/1000</f>
        <v>16.100999999999999</v>
      </c>
      <c r="D10">
        <f>D6/1000</f>
        <v>48.634999999999998</v>
      </c>
      <c r="E10">
        <f>E6/1000</f>
        <v>148.114</v>
      </c>
      <c r="F10">
        <f>F6/1000</f>
        <v>446.43900000000002</v>
      </c>
      <c r="G10">
        <f>G6/1000</f>
        <v>1361.2070000000001</v>
      </c>
      <c r="H10">
        <f>H6/1000</f>
        <v>4105.8620000000001</v>
      </c>
      <c r="I10">
        <f>I6/1000</f>
        <v>12505.98</v>
      </c>
      <c r="J10">
        <f>J6/1000</f>
        <v>37740.144</v>
      </c>
      <c r="K10">
        <f>K6/1000</f>
        <v>114834.37699999999</v>
      </c>
    </row>
    <row r="11" spans="1:11">
      <c r="A11" t="s">
        <v>6</v>
      </c>
      <c r="B11">
        <f>B7/1000</f>
        <v>3.1459999999999999</v>
      </c>
      <c r="C11">
        <f>C7/1000</f>
        <v>9.8079999999999998</v>
      </c>
      <c r="D11">
        <f>D7/1000</f>
        <v>30.22</v>
      </c>
      <c r="E11">
        <f>E7/1000</f>
        <v>91.456000000000003</v>
      </c>
      <c r="F11">
        <f>F7/1000</f>
        <v>275.16399999999999</v>
      </c>
      <c r="G11">
        <f>G7/1000</f>
        <v>826.28599999999994</v>
      </c>
      <c r="H11">
        <f>H7/1000</f>
        <v>2525.7240000000002</v>
      </c>
      <c r="I11">
        <f>I7/1000</f>
        <v>7840.1260000000002</v>
      </c>
      <c r="J11">
        <f>J7/1000</f>
        <v>23783.32</v>
      </c>
      <c r="K11">
        <f>K7/1000</f>
        <v>71612.903999999995</v>
      </c>
    </row>
    <row r="13" spans="1:11">
      <c r="A13" s="4" t="s">
        <v>8</v>
      </c>
    </row>
    <row r="14" spans="1:11">
      <c r="A14" t="s">
        <v>4</v>
      </c>
      <c r="B14">
        <f>B5/B$3</f>
        <v>62.942148760330582</v>
      </c>
      <c r="C14">
        <f>C5/C$3</f>
        <v>63.560439560439562</v>
      </c>
      <c r="D14">
        <f>D5/D$3</f>
        <v>63.827996340347667</v>
      </c>
      <c r="E14">
        <f>E5/E$3</f>
        <v>64.489329268292678</v>
      </c>
      <c r="F14">
        <f>F5/F$3</f>
        <v>64.698303017985978</v>
      </c>
      <c r="G14">
        <f>G5/G$3</f>
        <v>65.438355236417834</v>
      </c>
      <c r="H14">
        <f>H5/H$3</f>
        <v>65.68899100177255</v>
      </c>
      <c r="I14">
        <f>I5/I$3</f>
        <v>66.397828541321687</v>
      </c>
      <c r="J14">
        <f>J5/J$3</f>
        <v>66.676519548748615</v>
      </c>
      <c r="K14">
        <f>K5/K$3</f>
        <v>67.351373456815935</v>
      </c>
    </row>
    <row r="15" spans="1:11">
      <c r="A15" t="s">
        <v>5</v>
      </c>
      <c r="B15">
        <f>B6/B$3</f>
        <v>43.628099173553721</v>
      </c>
      <c r="C15">
        <f>C6/C$3</f>
        <v>44.233516483516482</v>
      </c>
      <c r="D15">
        <f>D6/D$3</f>
        <v>44.496797804208597</v>
      </c>
      <c r="E15">
        <f>E6/E$3</f>
        <v>45.15670731707317</v>
      </c>
      <c r="F15">
        <f>F6/F$3</f>
        <v>45.365206787928059</v>
      </c>
      <c r="G15">
        <f>G6/G$3</f>
        <v>46.105100934832677</v>
      </c>
      <c r="H15">
        <f>H6/H$3</f>
        <v>46.35568401205785</v>
      </c>
      <c r="I15">
        <f>I6/I$3</f>
        <v>47.064503989161523</v>
      </c>
      <c r="J15">
        <f>J6/J$3</f>
        <v>47.343189142469335</v>
      </c>
      <c r="K15">
        <f>K6/K$3</f>
        <v>48.018041099166879</v>
      </c>
    </row>
    <row r="16" spans="1:11">
      <c r="A16" t="s">
        <v>6</v>
      </c>
      <c r="B16">
        <f>B7/B$3</f>
        <v>26</v>
      </c>
      <c r="C16">
        <f>C7/C$3</f>
        <v>26.945054945054945</v>
      </c>
      <c r="D16">
        <f>D7/D$3</f>
        <v>27.648673376029276</v>
      </c>
      <c r="E16">
        <f>E7/E$3</f>
        <v>27.882926829268293</v>
      </c>
      <c r="F16">
        <f>F7/F$3</f>
        <v>27.960979575246419</v>
      </c>
      <c r="G16">
        <f>G7/G$3</f>
        <v>27.986925890800705</v>
      </c>
      <c r="H16">
        <f>H7/H$3</f>
        <v>28.515732785386067</v>
      </c>
      <c r="I16">
        <f>I7/I$3</f>
        <v>29.505216016859851</v>
      </c>
      <c r="J16">
        <f>J7/J$3</f>
        <v>29.835027052251679</v>
      </c>
      <c r="K16">
        <f>K7/K$3</f>
        <v>29.944964716468938</v>
      </c>
    </row>
    <row r="18" spans="1:12">
      <c r="A18" s="4" t="s">
        <v>9</v>
      </c>
      <c r="L18" s="3" t="s">
        <v>10</v>
      </c>
    </row>
    <row r="19" spans="1:12">
      <c r="A19" t="s">
        <v>11</v>
      </c>
      <c r="B19" s="2">
        <f>(B5-B6)/B6</f>
        <v>0.44269748058344383</v>
      </c>
      <c r="C19" s="2">
        <f>(C5-C6)/C6</f>
        <v>0.43692938326811998</v>
      </c>
      <c r="D19" s="2">
        <f>(D5-D6)/D6</f>
        <v>0.43444021795003596</v>
      </c>
      <c r="E19" s="2">
        <f>(E5-E6)/E6</f>
        <v>0.42812293233590343</v>
      </c>
      <c r="F19" s="2">
        <f>(F5-F6)/F6</f>
        <v>0.42616572476866943</v>
      </c>
      <c r="G19" s="2">
        <f>(G5-G6)/G6</f>
        <v>0.41933005046256744</v>
      </c>
      <c r="H19" s="2">
        <f>(H5-H6)/H6</f>
        <v>0.41706443129359927</v>
      </c>
      <c r="I19" s="2">
        <f>(I5-I6)/I6</f>
        <v>0.41078356114434855</v>
      </c>
      <c r="J19" s="2">
        <f>(J5-J6)/J6</f>
        <v>0.40836561195950921</v>
      </c>
      <c r="K19" s="2">
        <f>(K5-K6)/K6</f>
        <v>0.402626427798707</v>
      </c>
      <c r="L19" s="2">
        <f>AVERAGE(B19:K19)</f>
        <v>0.42265258215649049</v>
      </c>
    </row>
    <row r="20" spans="1:12">
      <c r="A20" t="s">
        <v>12</v>
      </c>
      <c r="B20" s="2">
        <f>(B6-B7)/B7</f>
        <v>0.67800381436745072</v>
      </c>
      <c r="C20" s="2">
        <f>(C6-C7)/C7</f>
        <v>0.64161908646003263</v>
      </c>
      <c r="D20" s="2">
        <f>(D6-D7)/D7</f>
        <v>0.60936465916611515</v>
      </c>
      <c r="E20" s="2">
        <f>(E6-E7)/E7</f>
        <v>0.61951102169349193</v>
      </c>
      <c r="F20" s="2">
        <f>(F6-F7)/F7</f>
        <v>0.62244697707548957</v>
      </c>
      <c r="G20" s="2">
        <f>(G6-G7)/G7</f>
        <v>0.64737996286999899</v>
      </c>
      <c r="H20" s="2">
        <f>(H6-H7)/H7</f>
        <v>0.6256178426463066</v>
      </c>
      <c r="I20" s="2">
        <f>(I6-I7)/I7</f>
        <v>0.59512487426860228</v>
      </c>
      <c r="J20" s="2">
        <f>(J6-J7)/J7</f>
        <v>0.58683245232372938</v>
      </c>
      <c r="K20" s="2">
        <f>(K6-K7)/K7</f>
        <v>0.60354308491665132</v>
      </c>
      <c r="L20" s="2">
        <f t="shared" ref="L20:L21" si="0">AVERAGE(B20:K20)</f>
        <v>0.62294437757878696</v>
      </c>
    </row>
    <row r="21" spans="1:12">
      <c r="A21" t="s">
        <v>13</v>
      </c>
      <c r="B21" s="2">
        <f>(B5-B7)/B7</f>
        <v>1.42085187539733</v>
      </c>
      <c r="C21" s="2">
        <f>(C5-C7)/C7</f>
        <v>1.3588907014681892</v>
      </c>
      <c r="D21" s="2">
        <f>(D5-D7)/D7</f>
        <v>1.3085373924553276</v>
      </c>
      <c r="E21" s="2">
        <f>(E5-E7)/E7</f>
        <v>1.3128608292512247</v>
      </c>
      <c r="F21" s="2">
        <f>(F5-F7)/F7</f>
        <v>1.3138782689596022</v>
      </c>
      <c r="G21" s="2">
        <f>(G5-G7)/G7</f>
        <v>1.3381758858312982</v>
      </c>
      <c r="H21" s="2">
        <f>(H5-H7)/H7</f>
        <v>1.3036052236903162</v>
      </c>
      <c r="I21" s="2">
        <f>(I5-I7)/I7</f>
        <v>1.25037595059059</v>
      </c>
      <c r="J21" s="2">
        <f>(J5-J7)/J7</f>
        <v>1.234840257794118</v>
      </c>
      <c r="K21" s="2">
        <f>(K5-K7)/K7</f>
        <v>1.2491719090179614</v>
      </c>
      <c r="L21" s="2">
        <f t="shared" si="0"/>
        <v>1.3091188294455958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55EAF-146D-4CCF-9604-51718C349EB1}">
  <dimension ref="A1:N31"/>
  <sheetViews>
    <sheetView workbookViewId="0">
      <selection activeCell="F1" sqref="F1"/>
    </sheetView>
  </sheetViews>
  <sheetFormatPr defaultRowHeight="15"/>
  <cols>
    <col min="1" max="1" width="32.7109375" customWidth="1"/>
    <col min="9" max="9" width="33.140625" customWidth="1"/>
  </cols>
  <sheetData>
    <row r="1" spans="1:14">
      <c r="A1" t="s">
        <v>0</v>
      </c>
      <c r="I1" t="s">
        <v>14</v>
      </c>
    </row>
    <row r="2" spans="1:14">
      <c r="A2" t="s">
        <v>1</v>
      </c>
      <c r="B2">
        <v>9</v>
      </c>
      <c r="C2">
        <v>10</v>
      </c>
      <c r="D2">
        <v>11</v>
      </c>
      <c r="E2">
        <v>12</v>
      </c>
      <c r="F2">
        <v>13</v>
      </c>
      <c r="I2" t="s">
        <v>15</v>
      </c>
      <c r="J2">
        <v>9</v>
      </c>
      <c r="K2">
        <v>10</v>
      </c>
      <c r="L2">
        <v>11</v>
      </c>
      <c r="M2">
        <v>12</v>
      </c>
      <c r="N2">
        <v>13</v>
      </c>
    </row>
    <row r="3" spans="1:14">
      <c r="A3" t="s">
        <v>2</v>
      </c>
      <c r="B3">
        <v>9841</v>
      </c>
      <c r="C3">
        <v>29524</v>
      </c>
      <c r="D3">
        <v>88573</v>
      </c>
      <c r="E3">
        <v>265720</v>
      </c>
      <c r="F3">
        <v>797161</v>
      </c>
      <c r="I3" t="s">
        <v>2</v>
      </c>
      <c r="J3">
        <v>66430</v>
      </c>
      <c r="K3">
        <v>111111</v>
      </c>
      <c r="L3">
        <v>177156</v>
      </c>
      <c r="M3">
        <v>271453</v>
      </c>
      <c r="N3">
        <v>402234</v>
      </c>
    </row>
    <row r="5" spans="1:14">
      <c r="A5" s="3" t="s">
        <v>16</v>
      </c>
      <c r="I5" s="3" t="s">
        <v>16</v>
      </c>
    </row>
    <row r="6" spans="1:14">
      <c r="A6" t="s">
        <v>17</v>
      </c>
      <c r="B6">
        <f>MiniXML!B10</f>
        <v>10.549600000000002</v>
      </c>
      <c r="C6">
        <f>MiniXML!C10</f>
        <v>32.867200000000004</v>
      </c>
      <c r="D6">
        <f>MiniXML!D10</f>
        <v>107.9374</v>
      </c>
      <c r="E6">
        <f>MiniXML!E10</f>
        <v>335.13220000000001</v>
      </c>
      <c r="F6">
        <f>MiniXML!F10</f>
        <v>979.50920000000008</v>
      </c>
      <c r="I6" t="s">
        <v>17</v>
      </c>
      <c r="J6">
        <f>MiniXML!J10</f>
        <v>79.680200000000013</v>
      </c>
      <c r="K6">
        <f>MiniXML!K10</f>
        <v>134.554</v>
      </c>
      <c r="L6">
        <f>MiniXML!L10</f>
        <v>216.37359999999998</v>
      </c>
      <c r="M6">
        <f>MiniXML!M10</f>
        <v>333.13679999999999</v>
      </c>
      <c r="N6">
        <f>MiniXML!N10</f>
        <v>493.15320000000003</v>
      </c>
    </row>
    <row r="7" spans="1:14">
      <c r="A7" t="s">
        <v>18</v>
      </c>
      <c r="B7">
        <f>Jansson!B10</f>
        <v>10.6114</v>
      </c>
      <c r="C7">
        <f>Jansson!C10</f>
        <v>33.475999999999999</v>
      </c>
      <c r="D7">
        <f>Jansson!D10</f>
        <v>113.53440000000001</v>
      </c>
      <c r="E7">
        <f>Jansson!E10</f>
        <v>344.27020000000005</v>
      </c>
      <c r="F7">
        <f>Jansson!F10</f>
        <v>936.64300000000003</v>
      </c>
      <c r="I7" t="s">
        <v>18</v>
      </c>
      <c r="J7">
        <f>Jansson!J10</f>
        <v>69.918199999999999</v>
      </c>
      <c r="K7">
        <f>Jansson!K10</f>
        <v>123.0136</v>
      </c>
      <c r="L7">
        <f>Jansson!L10</f>
        <v>196.202</v>
      </c>
      <c r="M7">
        <f>Jansson!M10</f>
        <v>302.46760000000006</v>
      </c>
      <c r="N7">
        <f>Jansson!N10</f>
        <v>432.71000000000004</v>
      </c>
    </row>
    <row r="8" spans="1:14">
      <c r="A8" t="s">
        <v>19</v>
      </c>
      <c r="B8">
        <f>Parson!B10</f>
        <v>20.055399999999999</v>
      </c>
      <c r="C8">
        <f>Parson!C10</f>
        <v>65.037999999999997</v>
      </c>
      <c r="D8">
        <f>Parson!D10</f>
        <v>215.209</v>
      </c>
      <c r="E8">
        <f>Parson!E10</f>
        <v>630.07820000000004</v>
      </c>
      <c r="F8">
        <f>Parson!F10</f>
        <v>1906.2833999999998</v>
      </c>
      <c r="I8" t="s">
        <v>19</v>
      </c>
      <c r="J8">
        <f>Parson!J10</f>
        <v>148.30799999999999</v>
      </c>
      <c r="K8">
        <f>Parson!K10</f>
        <v>251.75799999999998</v>
      </c>
      <c r="L8">
        <f>Parson!L10</f>
        <v>402.94459999999992</v>
      </c>
      <c r="M8">
        <f>Parson!M10</f>
        <v>612.20580000000007</v>
      </c>
      <c r="N8">
        <f>Parson!N10</f>
        <v>907.36979999999983</v>
      </c>
    </row>
    <row r="9" spans="1:14">
      <c r="A9" t="s">
        <v>20</v>
      </c>
      <c r="B9">
        <f>cJSON!B10</f>
        <v>6.8609999999999998</v>
      </c>
      <c r="C9">
        <f>cJSON!C10</f>
        <v>18.95</v>
      </c>
      <c r="D9">
        <f>cJSON!D10</f>
        <v>64.932600000000008</v>
      </c>
      <c r="E9">
        <f>cJSON!E10</f>
        <v>207.48079999999999</v>
      </c>
      <c r="F9">
        <f>cJSON!F10</f>
        <v>622.36040000000003</v>
      </c>
      <c r="I9" t="s">
        <v>20</v>
      </c>
      <c r="J9">
        <f>cJSON!J10</f>
        <v>43.2134</v>
      </c>
      <c r="K9">
        <f>cJSON!K10</f>
        <v>78.302599999999998</v>
      </c>
      <c r="L9">
        <f>cJSON!L10</f>
        <v>132.10939999999999</v>
      </c>
      <c r="M9">
        <f>cJSON!M10</f>
        <v>207.25560000000002</v>
      </c>
      <c r="N9">
        <f>cJSON!N10</f>
        <v>304.54080000000005</v>
      </c>
    </row>
    <row r="10" spans="1:14">
      <c r="A10" t="s">
        <v>21</v>
      </c>
      <c r="B10">
        <f>msgpackc!B10</f>
        <v>1.831</v>
      </c>
      <c r="C10">
        <f>msgpackc!C10</f>
        <v>3.6452</v>
      </c>
      <c r="D10">
        <f>msgpackc!D10</f>
        <v>9.6485999999999983</v>
      </c>
      <c r="E10">
        <f>msgpackc!E10</f>
        <v>29.043599999999998</v>
      </c>
      <c r="F10">
        <f>msgpackc!F10</f>
        <v>90.825800000000001</v>
      </c>
      <c r="I10" t="s">
        <v>21</v>
      </c>
      <c r="J10">
        <f>msgpackc!J10</f>
        <v>7.1692000000000009</v>
      </c>
      <c r="K10">
        <f>msgpackc!K10</f>
        <v>11.724599999999999</v>
      </c>
      <c r="L10">
        <f>msgpackc!L10</f>
        <v>18.338200000000001</v>
      </c>
      <c r="M10">
        <f>msgpackc!M10</f>
        <v>28.348800000000001</v>
      </c>
      <c r="N10">
        <f>msgpackc!N10</f>
        <v>45.052599999999998</v>
      </c>
    </row>
    <row r="12" spans="1:14">
      <c r="A12" s="3" t="s">
        <v>22</v>
      </c>
      <c r="I12" s="3" t="s">
        <v>22</v>
      </c>
    </row>
    <row r="13" spans="1:14">
      <c r="A13" t="s">
        <v>17</v>
      </c>
      <c r="B13">
        <f>MiniXML!B17</f>
        <v>15.666999999999998</v>
      </c>
      <c r="C13">
        <f>MiniXML!C17</f>
        <v>56.015200000000007</v>
      </c>
      <c r="D13">
        <f>MiniXML!D17</f>
        <v>167.36280000000002</v>
      </c>
      <c r="E13">
        <f>MiniXML!E17</f>
        <v>479.5652</v>
      </c>
      <c r="F13">
        <f>MiniXML!F17</f>
        <v>1442.6097999999997</v>
      </c>
      <c r="I13" t="s">
        <v>17</v>
      </c>
      <c r="J13">
        <f>MiniXML!J17</f>
        <v>122.0214</v>
      </c>
      <c r="K13">
        <f>MiniXML!K17</f>
        <v>205.30079999999998</v>
      </c>
      <c r="L13">
        <f>MiniXML!L17</f>
        <v>322.69040000000001</v>
      </c>
      <c r="M13">
        <f>MiniXML!M17</f>
        <v>478.29799999999994</v>
      </c>
      <c r="N13">
        <f>MiniXML!N17</f>
        <v>706.51260000000002</v>
      </c>
    </row>
    <row r="14" spans="1:14">
      <c r="A14" t="s">
        <v>18</v>
      </c>
      <c r="B14">
        <f>Jansson!B17</f>
        <v>11.186000000000002</v>
      </c>
      <c r="C14">
        <f>Jansson!C17</f>
        <v>41.1158</v>
      </c>
      <c r="D14">
        <f>Jansson!D17</f>
        <v>123.32039999999999</v>
      </c>
      <c r="E14">
        <f>Jansson!E17</f>
        <v>355.22100000000006</v>
      </c>
      <c r="F14">
        <f>Jansson!F17</f>
        <v>1069.1364000000001</v>
      </c>
      <c r="I14" t="s">
        <v>18</v>
      </c>
      <c r="J14">
        <f>Jansson!J17</f>
        <v>91.466399999999993</v>
      </c>
      <c r="K14">
        <f>Jansson!K17</f>
        <v>152.83499999999998</v>
      </c>
      <c r="L14">
        <f>Jansson!L17</f>
        <v>238.55299999999997</v>
      </c>
      <c r="M14">
        <f>Jansson!M17</f>
        <v>355.87860000000001</v>
      </c>
      <c r="N14">
        <f>Jansson!N17</f>
        <v>523.25380000000007</v>
      </c>
    </row>
    <row r="15" spans="1:14">
      <c r="A15" t="s">
        <v>19</v>
      </c>
      <c r="B15">
        <f>Parson!B17</f>
        <v>11.391999999999999</v>
      </c>
      <c r="C15">
        <f>Parson!C17</f>
        <v>43.2986</v>
      </c>
      <c r="D15">
        <f>Parson!D17</f>
        <v>128.62739999999999</v>
      </c>
      <c r="E15">
        <f>Parson!E17</f>
        <v>369.39120000000003</v>
      </c>
      <c r="F15">
        <f>Parson!F17</f>
        <v>1133.4538</v>
      </c>
      <c r="I15" t="s">
        <v>19</v>
      </c>
      <c r="J15">
        <f>Parson!J17</f>
        <v>94.445800000000006</v>
      </c>
      <c r="K15">
        <f>Parson!K17</f>
        <v>152.87439999999998</v>
      </c>
      <c r="L15">
        <f>Parson!L17</f>
        <v>239.6944</v>
      </c>
      <c r="M15">
        <f>Parson!M17</f>
        <v>365.35559999999998</v>
      </c>
      <c r="N15">
        <f>Parson!N17</f>
        <v>541.45799999999997</v>
      </c>
    </row>
    <row r="16" spans="1:14">
      <c r="A16" t="s">
        <v>20</v>
      </c>
      <c r="B16">
        <f>cJSON!B17</f>
        <v>6.9909999999999997</v>
      </c>
      <c r="C16">
        <f>cJSON!C17</f>
        <v>22.858599999999999</v>
      </c>
      <c r="D16">
        <f>cJSON!D17</f>
        <v>80.486799999999988</v>
      </c>
      <c r="E16">
        <f>cJSON!E17</f>
        <v>230.88739999999999</v>
      </c>
      <c r="F16">
        <f>cJSON!F17</f>
        <v>684.05320000000006</v>
      </c>
      <c r="I16" t="s">
        <v>20</v>
      </c>
      <c r="J16">
        <f>cJSON!J17</f>
        <v>58.965999999999994</v>
      </c>
      <c r="K16">
        <f>cJSON!K17</f>
        <v>98.871000000000009</v>
      </c>
      <c r="L16">
        <f>cJSON!L17</f>
        <v>155.92019999999999</v>
      </c>
      <c r="M16">
        <f>cJSON!M17</f>
        <v>233.89420000000001</v>
      </c>
      <c r="N16">
        <f>cJSON!N17</f>
        <v>336.86180000000002</v>
      </c>
    </row>
    <row r="17" spans="1:14">
      <c r="A17" t="s">
        <v>21</v>
      </c>
      <c r="B17">
        <f>msgpackc!B17</f>
        <v>2.411</v>
      </c>
      <c r="C17">
        <f>msgpackc!C17</f>
        <v>7.1466000000000012</v>
      </c>
      <c r="D17">
        <f>msgpackc!D17</f>
        <v>24.297000000000001</v>
      </c>
      <c r="E17">
        <f>msgpackc!E17</f>
        <v>89.819800000000001</v>
      </c>
      <c r="F17">
        <f>msgpackc!F17</f>
        <v>265.3954</v>
      </c>
      <c r="I17" t="s">
        <v>21</v>
      </c>
      <c r="J17">
        <f>msgpackc!J17</f>
        <v>15.421600000000002</v>
      </c>
      <c r="K17">
        <f>msgpackc!K17</f>
        <v>31.969800000000003</v>
      </c>
      <c r="L17">
        <f>msgpackc!L17</f>
        <v>56.325800000000001</v>
      </c>
      <c r="M17">
        <f>msgpackc!M17</f>
        <v>89.688999999999993</v>
      </c>
      <c r="N17">
        <f>msgpackc!N17</f>
        <v>131.46520000000001</v>
      </c>
    </row>
    <row r="19" spans="1:14">
      <c r="A19" s="3" t="s">
        <v>23</v>
      </c>
      <c r="I19" s="3" t="s">
        <v>23</v>
      </c>
    </row>
    <row r="20" spans="1:14">
      <c r="A20" t="s">
        <v>17</v>
      </c>
      <c r="B20">
        <f>B6*1000/B$3</f>
        <v>1.0720048775530944</v>
      </c>
      <c r="C20">
        <f t="shared" ref="C20:F20" si="0">C6*1000/C$3</f>
        <v>1.1132366887955563</v>
      </c>
      <c r="D20">
        <f t="shared" si="0"/>
        <v>1.2186264437243854</v>
      </c>
      <c r="E20">
        <f t="shared" si="0"/>
        <v>1.2612230919765166</v>
      </c>
      <c r="F20">
        <f t="shared" si="0"/>
        <v>1.2287470159729341</v>
      </c>
      <c r="I20" t="s">
        <v>17</v>
      </c>
      <c r="J20">
        <f>J6*1000/J$3</f>
        <v>1.1994610868583473</v>
      </c>
      <c r="K20">
        <f t="shared" ref="K20:N20" si="1">K6*1000/K$3</f>
        <v>1.2109872109872111</v>
      </c>
      <c r="L20">
        <f t="shared" si="1"/>
        <v>1.2213732529522001</v>
      </c>
      <c r="M20">
        <f t="shared" si="1"/>
        <v>1.227235654054293</v>
      </c>
      <c r="N20">
        <f t="shared" si="1"/>
        <v>1.2260355912230194</v>
      </c>
    </row>
    <row r="21" spans="1:14">
      <c r="A21" t="s">
        <v>18</v>
      </c>
      <c r="B21">
        <f t="shared" ref="B21:F21" si="2">B7*1000/B$3</f>
        <v>1.0782847271618738</v>
      </c>
      <c r="C21">
        <f t="shared" si="2"/>
        <v>1.1338572009212844</v>
      </c>
      <c r="D21">
        <f t="shared" si="2"/>
        <v>1.2818172580809051</v>
      </c>
      <c r="E21">
        <f t="shared" si="2"/>
        <v>1.2956126749962369</v>
      </c>
      <c r="F21">
        <f t="shared" si="2"/>
        <v>1.1749734369844986</v>
      </c>
      <c r="I21" t="s">
        <v>18</v>
      </c>
      <c r="J21">
        <f t="shared" ref="J21:N21" si="3">J7*1000/J$3</f>
        <v>1.0525094083998192</v>
      </c>
      <c r="K21">
        <f t="shared" si="3"/>
        <v>1.107123507123507</v>
      </c>
      <c r="L21">
        <f t="shared" si="3"/>
        <v>1.1075097654045023</v>
      </c>
      <c r="M21">
        <f t="shared" si="3"/>
        <v>1.1142540329265105</v>
      </c>
      <c r="N21">
        <f t="shared" si="3"/>
        <v>1.0757668421863891</v>
      </c>
    </row>
    <row r="22" spans="1:14">
      <c r="A22" t="s">
        <v>19</v>
      </c>
      <c r="B22">
        <f t="shared" ref="B22:F22" si="4">B8*1000/B$3</f>
        <v>2.0379432984452799</v>
      </c>
      <c r="C22">
        <f t="shared" si="4"/>
        <v>2.202885787833627</v>
      </c>
      <c r="D22">
        <f t="shared" si="4"/>
        <v>2.4297359240400573</v>
      </c>
      <c r="E22">
        <f t="shared" si="4"/>
        <v>2.371211049224748</v>
      </c>
      <c r="F22">
        <f t="shared" si="4"/>
        <v>2.3913405196691757</v>
      </c>
      <c r="I22" t="s">
        <v>19</v>
      </c>
      <c r="J22">
        <f t="shared" ref="J22:N22" si="5">J8*1000/J$3</f>
        <v>2.2325455366551257</v>
      </c>
      <c r="K22">
        <f t="shared" si="5"/>
        <v>2.2658242658242655</v>
      </c>
      <c r="L22">
        <f t="shared" si="5"/>
        <v>2.2745185034658713</v>
      </c>
      <c r="M22">
        <f t="shared" si="5"/>
        <v>2.2552920763447082</v>
      </c>
      <c r="N22">
        <f t="shared" si="5"/>
        <v>2.2558257133907125</v>
      </c>
    </row>
    <row r="23" spans="1:14">
      <c r="A23" t="s">
        <v>20</v>
      </c>
      <c r="B23">
        <f t="shared" ref="B23:F23" si="6">B9*1000/B$3</f>
        <v>0.69718524540189009</v>
      </c>
      <c r="C23">
        <f t="shared" si="6"/>
        <v>0.64185069773743397</v>
      </c>
      <c r="D23">
        <f t="shared" si="6"/>
        <v>0.73309699344043899</v>
      </c>
      <c r="E23">
        <f t="shared" si="6"/>
        <v>0.78082492849616136</v>
      </c>
      <c r="F23">
        <f t="shared" si="6"/>
        <v>0.78072108394665574</v>
      </c>
      <c r="I23" t="s">
        <v>20</v>
      </c>
      <c r="J23">
        <f t="shared" ref="J23:N23" si="7">J9*1000/J$3</f>
        <v>0.65051031160620199</v>
      </c>
      <c r="K23">
        <f t="shared" si="7"/>
        <v>0.70472410472410463</v>
      </c>
      <c r="L23">
        <f t="shared" si="7"/>
        <v>0.74572354309196409</v>
      </c>
      <c r="M23">
        <f t="shared" si="7"/>
        <v>0.76350454774859744</v>
      </c>
      <c r="N23">
        <f t="shared" si="7"/>
        <v>0.75712346544548703</v>
      </c>
    </row>
    <row r="24" spans="1:14">
      <c r="A24" t="s">
        <v>21</v>
      </c>
      <c r="B24">
        <f t="shared" ref="B24:F24" si="8">B10*1000/B$3</f>
        <v>0.18605832740575146</v>
      </c>
      <c r="C24">
        <f t="shared" si="8"/>
        <v>0.12346565506028993</v>
      </c>
      <c r="D24">
        <f t="shared" si="8"/>
        <v>0.10893387375385274</v>
      </c>
      <c r="E24">
        <f t="shared" si="8"/>
        <v>0.1093015203974108</v>
      </c>
      <c r="F24">
        <f t="shared" si="8"/>
        <v>0.11393658244695865</v>
      </c>
      <c r="I24" t="s">
        <v>21</v>
      </c>
      <c r="J24">
        <f t="shared" ref="J24:N24" si="9">J10*1000/J$3</f>
        <v>0.10792111997591451</v>
      </c>
      <c r="K24">
        <f t="shared" si="9"/>
        <v>0.10552150552150551</v>
      </c>
      <c r="L24">
        <f t="shared" si="9"/>
        <v>0.10351441667231141</v>
      </c>
      <c r="M24">
        <f t="shared" si="9"/>
        <v>0.10443354834906964</v>
      </c>
      <c r="N24">
        <f t="shared" si="9"/>
        <v>0.11200594678719351</v>
      </c>
    </row>
    <row r="26" spans="1:14">
      <c r="A26" s="3" t="s">
        <v>24</v>
      </c>
      <c r="I26" s="3" t="s">
        <v>24</v>
      </c>
    </row>
    <row r="27" spans="1:14">
      <c r="A27" t="s">
        <v>17</v>
      </c>
      <c r="B27">
        <f>B13*1000/B$3</f>
        <v>1.592013006808251</v>
      </c>
      <c r="C27">
        <f t="shared" ref="C27:F27" si="10">C13*1000/C$3</f>
        <v>1.8972767917626339</v>
      </c>
      <c r="D27">
        <f t="shared" si="10"/>
        <v>1.8895464757883329</v>
      </c>
      <c r="E27">
        <f t="shared" si="10"/>
        <v>1.8047764564202922</v>
      </c>
      <c r="F27">
        <f t="shared" si="10"/>
        <v>1.8096843673988063</v>
      </c>
      <c r="I27" t="s">
        <v>17</v>
      </c>
      <c r="J27">
        <f>J13*1000/J$3</f>
        <v>1.8368417883486376</v>
      </c>
      <c r="K27">
        <f t="shared" ref="K27:N27" si="11">K13*1000/K$3</f>
        <v>1.8477090477090476</v>
      </c>
      <c r="L27">
        <f t="shared" si="11"/>
        <v>1.8215042109778954</v>
      </c>
      <c r="M27">
        <f t="shared" si="11"/>
        <v>1.7619919470405556</v>
      </c>
      <c r="N27">
        <f t="shared" si="11"/>
        <v>1.7564716060800429</v>
      </c>
    </row>
    <row r="28" spans="1:14">
      <c r="A28" t="s">
        <v>18</v>
      </c>
      <c r="B28">
        <f t="shared" ref="B28:F28" si="12">B14*1000/B$3</f>
        <v>1.1366731023269994</v>
      </c>
      <c r="C28">
        <f t="shared" si="12"/>
        <v>1.3926229508196721</v>
      </c>
      <c r="D28">
        <f t="shared" si="12"/>
        <v>1.3923023946349338</v>
      </c>
      <c r="E28">
        <f t="shared" si="12"/>
        <v>1.3368244768929702</v>
      </c>
      <c r="F28">
        <f t="shared" si="12"/>
        <v>1.3411800125696065</v>
      </c>
      <c r="I28" t="s">
        <v>18</v>
      </c>
      <c r="J28">
        <f t="shared" ref="J28:N28" si="13">J14*1000/J$3</f>
        <v>1.3768839379798283</v>
      </c>
      <c r="K28">
        <f t="shared" si="13"/>
        <v>1.3755163755163753</v>
      </c>
      <c r="L28">
        <f t="shared" si="13"/>
        <v>1.3465702544649911</v>
      </c>
      <c r="M28">
        <f t="shared" si="13"/>
        <v>1.3110136929781582</v>
      </c>
      <c r="N28">
        <f t="shared" si="13"/>
        <v>1.3008691458205921</v>
      </c>
    </row>
    <row r="29" spans="1:14">
      <c r="A29" t="s">
        <v>19</v>
      </c>
      <c r="B29">
        <f t="shared" ref="B29:F29" si="14">B15*1000/B$3</f>
        <v>1.1576059343562646</v>
      </c>
      <c r="C29">
        <f t="shared" si="14"/>
        <v>1.4665560222192113</v>
      </c>
      <c r="D29">
        <f t="shared" si="14"/>
        <v>1.4522190735325662</v>
      </c>
      <c r="E29">
        <f t="shared" si="14"/>
        <v>1.3901520397410809</v>
      </c>
      <c r="F29">
        <f t="shared" si="14"/>
        <v>1.4218630866286737</v>
      </c>
      <c r="I29" t="s">
        <v>19</v>
      </c>
      <c r="J29">
        <f t="shared" ref="J29:N29" si="15">J15*1000/J$3</f>
        <v>1.4217341562547043</v>
      </c>
      <c r="K29">
        <f t="shared" si="15"/>
        <v>1.3758709758709757</v>
      </c>
      <c r="L29">
        <f t="shared" si="15"/>
        <v>1.3530131635394793</v>
      </c>
      <c r="M29">
        <f t="shared" si="15"/>
        <v>1.3459258140451569</v>
      </c>
      <c r="N29">
        <f t="shared" si="15"/>
        <v>1.3461268813675622</v>
      </c>
    </row>
    <row r="30" spans="1:14">
      <c r="A30" t="s">
        <v>20</v>
      </c>
      <c r="B30">
        <f t="shared" ref="B30:F30" si="16">B16*1000/B$3</f>
        <v>0.71039528503200899</v>
      </c>
      <c r="C30">
        <f t="shared" si="16"/>
        <v>0.77423790814252802</v>
      </c>
      <c r="D30">
        <f t="shared" si="16"/>
        <v>0.90870581328395772</v>
      </c>
      <c r="E30">
        <f t="shared" si="16"/>
        <v>0.86891238898088208</v>
      </c>
      <c r="F30">
        <f t="shared" si="16"/>
        <v>0.85811172398047575</v>
      </c>
      <c r="I30" t="s">
        <v>20</v>
      </c>
      <c r="J30">
        <f t="shared" ref="J30:N30" si="17">J16*1000/J$3</f>
        <v>0.88764112599729028</v>
      </c>
      <c r="K30">
        <f t="shared" si="17"/>
        <v>0.88983988983988993</v>
      </c>
      <c r="L30">
        <f t="shared" si="17"/>
        <v>0.8801293774977984</v>
      </c>
      <c r="M30">
        <f t="shared" si="17"/>
        <v>0.86163792627084623</v>
      </c>
      <c r="N30">
        <f t="shared" si="17"/>
        <v>0.83747718989443953</v>
      </c>
    </row>
    <row r="31" spans="1:14">
      <c r="A31" t="s">
        <v>21</v>
      </c>
      <c r="B31">
        <f t="shared" ref="B31:F31" si="18">B17*1000/B$3</f>
        <v>0.24499542729397419</v>
      </c>
      <c r="C31">
        <f t="shared" si="18"/>
        <v>0.24206069638260402</v>
      </c>
      <c r="D31">
        <f t="shared" si="18"/>
        <v>0.27431610084337216</v>
      </c>
      <c r="E31">
        <f t="shared" si="18"/>
        <v>0.33802423603793469</v>
      </c>
      <c r="F31">
        <f t="shared" si="18"/>
        <v>0.33292572014938016</v>
      </c>
      <c r="I31" t="s">
        <v>21</v>
      </c>
      <c r="J31">
        <f t="shared" ref="J31:N31" si="19">J17*1000/J$3</f>
        <v>0.23214812584675601</v>
      </c>
      <c r="K31">
        <f t="shared" si="19"/>
        <v>0.28772848772848775</v>
      </c>
      <c r="L31">
        <f t="shared" si="19"/>
        <v>0.31794463636568904</v>
      </c>
      <c r="M31">
        <f t="shared" si="19"/>
        <v>0.33040342158679403</v>
      </c>
      <c r="N31">
        <f t="shared" si="19"/>
        <v>0.32683761193733002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042AE-B3EE-470E-A9EE-BA6DBDCB2AC2}">
  <dimension ref="A1:N17"/>
  <sheetViews>
    <sheetView workbookViewId="0">
      <selection activeCell="A18" sqref="A18"/>
    </sheetView>
  </sheetViews>
  <sheetFormatPr defaultRowHeight="15"/>
  <cols>
    <col min="1" max="1" width="20.7109375" customWidth="1"/>
    <col min="5" max="5" width="9.28515625" bestFit="1" customWidth="1"/>
    <col min="9" max="9" width="21.5703125" customWidth="1"/>
  </cols>
  <sheetData>
    <row r="1" spans="1:14">
      <c r="A1" t="str">
        <f>Performance!A1</f>
        <v>Breadth = 3</v>
      </c>
      <c r="I1" t="str">
        <f>Performance!I1</f>
        <v>Depth = 6</v>
      </c>
    </row>
    <row r="2" spans="1:14">
      <c r="A2" t="str">
        <f>Performance!A2</f>
        <v>Depth</v>
      </c>
      <c r="B2">
        <f>Performance!B2</f>
        <v>9</v>
      </c>
      <c r="C2">
        <f>Performance!C2</f>
        <v>10</v>
      </c>
      <c r="D2">
        <f>Performance!D2</f>
        <v>11</v>
      </c>
      <c r="E2">
        <f>Performance!E2</f>
        <v>12</v>
      </c>
      <c r="F2">
        <f>Performance!F2</f>
        <v>13</v>
      </c>
      <c r="I2" t="str">
        <f>Performance!I2</f>
        <v>Breadth</v>
      </c>
      <c r="J2">
        <f>Performance!J2</f>
        <v>9</v>
      </c>
      <c r="K2">
        <f>Performance!K2</f>
        <v>10</v>
      </c>
      <c r="L2">
        <f>Performance!L2</f>
        <v>11</v>
      </c>
      <c r="M2">
        <f>Performance!M2</f>
        <v>12</v>
      </c>
      <c r="N2">
        <f>Performance!N2</f>
        <v>13</v>
      </c>
    </row>
    <row r="3" spans="1:14">
      <c r="A3" t="str">
        <f>Performance!A3</f>
        <v>Node count</v>
      </c>
      <c r="B3">
        <f>Performance!B3</f>
        <v>9841</v>
      </c>
      <c r="C3">
        <f>Performance!C3</f>
        <v>29524</v>
      </c>
      <c r="D3">
        <f>Performance!D3</f>
        <v>88573</v>
      </c>
      <c r="E3">
        <f>Performance!E3</f>
        <v>265720</v>
      </c>
      <c r="F3">
        <f>Performance!F3</f>
        <v>797161</v>
      </c>
      <c r="I3" t="str">
        <f>Performance!I3</f>
        <v>Node count</v>
      </c>
      <c r="J3">
        <f>Performance!J3</f>
        <v>66430</v>
      </c>
      <c r="K3">
        <f>Performance!K3</f>
        <v>111111</v>
      </c>
      <c r="L3">
        <f>Performance!L3</f>
        <v>177156</v>
      </c>
      <c r="M3">
        <f>Performance!M3</f>
        <v>271453</v>
      </c>
      <c r="N3">
        <f>Performance!N3</f>
        <v>402234</v>
      </c>
    </row>
    <row r="4" spans="1:14">
      <c r="A4" t="s">
        <v>25</v>
      </c>
      <c r="I4" t="s">
        <v>25</v>
      </c>
    </row>
    <row r="5" spans="1:14">
      <c r="A5" t="s">
        <v>26</v>
      </c>
      <c r="B5">
        <v>10.319000000000001</v>
      </c>
      <c r="C5">
        <v>32.728999999999999</v>
      </c>
      <c r="D5">
        <v>107.592</v>
      </c>
      <c r="E5">
        <v>354.75299999999999</v>
      </c>
      <c r="F5">
        <v>990.94</v>
      </c>
      <c r="I5" t="s">
        <v>26</v>
      </c>
      <c r="J5">
        <v>82.64</v>
      </c>
      <c r="K5">
        <v>137.018</v>
      </c>
      <c r="L5">
        <v>216.131</v>
      </c>
      <c r="M5">
        <v>339.48</v>
      </c>
      <c r="N5">
        <v>501.31400000000002</v>
      </c>
    </row>
    <row r="6" spans="1:14">
      <c r="A6" t="s">
        <v>27</v>
      </c>
      <c r="B6">
        <v>10.505000000000001</v>
      </c>
      <c r="C6">
        <v>34.220999999999997</v>
      </c>
      <c r="D6">
        <v>109.241</v>
      </c>
      <c r="E6">
        <v>333.822</v>
      </c>
      <c r="F6">
        <v>995.04499999999996</v>
      </c>
      <c r="I6" t="s">
        <v>27</v>
      </c>
      <c r="J6">
        <v>77.777000000000001</v>
      </c>
      <c r="K6">
        <v>132.78899999999999</v>
      </c>
      <c r="L6">
        <v>217.381</v>
      </c>
      <c r="M6">
        <v>334.41699999999997</v>
      </c>
      <c r="N6">
        <v>501.09199999999998</v>
      </c>
    </row>
    <row r="7" spans="1:14">
      <c r="A7" t="s">
        <v>28</v>
      </c>
      <c r="B7">
        <v>10.861000000000001</v>
      </c>
      <c r="C7">
        <v>32.509</v>
      </c>
      <c r="D7">
        <v>108.556</v>
      </c>
      <c r="E7">
        <v>329.84699999999998</v>
      </c>
      <c r="F7">
        <v>967.92200000000003</v>
      </c>
      <c r="I7" t="s">
        <v>28</v>
      </c>
      <c r="J7">
        <v>77.882000000000005</v>
      </c>
      <c r="K7">
        <v>134.35400000000001</v>
      </c>
      <c r="L7">
        <v>216.40899999999999</v>
      </c>
      <c r="M7">
        <v>320.31299999999999</v>
      </c>
      <c r="N7">
        <v>483.35300000000001</v>
      </c>
    </row>
    <row r="8" spans="1:14">
      <c r="A8" t="s">
        <v>29</v>
      </c>
      <c r="B8">
        <v>10.709</v>
      </c>
      <c r="C8">
        <v>32.499000000000002</v>
      </c>
      <c r="D8">
        <v>106.767</v>
      </c>
      <c r="E8">
        <v>331.57900000000001</v>
      </c>
      <c r="F8">
        <v>975.86099999999999</v>
      </c>
      <c r="I8" t="s">
        <v>29</v>
      </c>
      <c r="J8">
        <v>80.805000000000007</v>
      </c>
      <c r="K8">
        <v>134.035</v>
      </c>
      <c r="L8">
        <v>218.03299999999999</v>
      </c>
      <c r="M8">
        <v>338.85</v>
      </c>
      <c r="N8">
        <v>498.54599999999999</v>
      </c>
    </row>
    <row r="9" spans="1:14">
      <c r="A9" t="s">
        <v>30</v>
      </c>
      <c r="B9">
        <v>10.353999999999999</v>
      </c>
      <c r="C9">
        <v>32.378</v>
      </c>
      <c r="D9">
        <v>107.53100000000001</v>
      </c>
      <c r="E9">
        <v>325.66000000000003</v>
      </c>
      <c r="F9">
        <v>967.77800000000002</v>
      </c>
      <c r="I9" t="s">
        <v>30</v>
      </c>
      <c r="J9">
        <v>79.296999999999997</v>
      </c>
      <c r="K9">
        <v>134.57400000000001</v>
      </c>
      <c r="L9">
        <v>213.91399999999999</v>
      </c>
      <c r="M9">
        <v>332.62400000000002</v>
      </c>
      <c r="N9">
        <v>481.46100000000001</v>
      </c>
    </row>
    <row r="10" spans="1:14">
      <c r="A10" t="s">
        <v>10</v>
      </c>
      <c r="B10">
        <f>AVERAGE(B5:B9)</f>
        <v>10.549600000000002</v>
      </c>
      <c r="C10">
        <f>AVERAGE(C5:C9)</f>
        <v>32.867200000000004</v>
      </c>
      <c r="D10">
        <f t="shared" ref="D10:F10" si="0">AVERAGE(D5:D9)</f>
        <v>107.9374</v>
      </c>
      <c r="E10">
        <f t="shared" si="0"/>
        <v>335.13220000000001</v>
      </c>
      <c r="F10">
        <f t="shared" si="0"/>
        <v>979.50920000000008</v>
      </c>
      <c r="I10" t="s">
        <v>10</v>
      </c>
      <c r="J10">
        <f t="shared" ref="J10:M10" si="1">AVERAGE(J5:J9)</f>
        <v>79.680200000000013</v>
      </c>
      <c r="K10">
        <f t="shared" si="1"/>
        <v>134.554</v>
      </c>
      <c r="L10">
        <f t="shared" si="1"/>
        <v>216.37359999999998</v>
      </c>
      <c r="M10">
        <f t="shared" si="1"/>
        <v>333.13679999999999</v>
      </c>
      <c r="N10">
        <f>AVERAGE(N5:N9)</f>
        <v>493.15320000000003</v>
      </c>
    </row>
    <row r="11" spans="1:14">
      <c r="A11" t="s">
        <v>31</v>
      </c>
      <c r="I11" t="s">
        <v>31</v>
      </c>
    </row>
    <row r="12" spans="1:14">
      <c r="A12" t="s">
        <v>26</v>
      </c>
      <c r="B12">
        <v>15.554</v>
      </c>
      <c r="C12">
        <v>56.466999999999999</v>
      </c>
      <c r="D12">
        <v>168.79900000000001</v>
      </c>
      <c r="E12">
        <v>482.50900000000001</v>
      </c>
      <c r="F12">
        <v>1448.4369999999999</v>
      </c>
      <c r="I12" t="s">
        <v>26</v>
      </c>
      <c r="J12">
        <v>117.696</v>
      </c>
      <c r="K12">
        <v>209.48699999999999</v>
      </c>
      <c r="L12">
        <v>328.47</v>
      </c>
      <c r="M12">
        <v>478.55900000000003</v>
      </c>
      <c r="N12">
        <v>713.04100000000005</v>
      </c>
    </row>
    <row r="13" spans="1:14">
      <c r="A13" t="s">
        <v>27</v>
      </c>
      <c r="B13">
        <v>15.593</v>
      </c>
      <c r="C13">
        <v>55.798999999999999</v>
      </c>
      <c r="D13">
        <v>171.054</v>
      </c>
      <c r="E13">
        <v>481.92099999999999</v>
      </c>
      <c r="F13">
        <v>1450.098</v>
      </c>
      <c r="I13" t="s">
        <v>27</v>
      </c>
      <c r="J13">
        <v>122.851</v>
      </c>
      <c r="K13">
        <v>206.26499999999999</v>
      </c>
      <c r="L13">
        <v>322.96300000000002</v>
      </c>
      <c r="M13">
        <v>477.61799999999999</v>
      </c>
      <c r="N13">
        <v>708.66</v>
      </c>
    </row>
    <row r="14" spans="1:14">
      <c r="A14" t="s">
        <v>28</v>
      </c>
      <c r="B14">
        <v>15.87</v>
      </c>
      <c r="C14">
        <v>55.313000000000002</v>
      </c>
      <c r="D14">
        <v>165.52</v>
      </c>
      <c r="E14">
        <v>480.43700000000001</v>
      </c>
      <c r="F14">
        <v>1431.4359999999999</v>
      </c>
      <c r="I14" t="s">
        <v>28</v>
      </c>
      <c r="J14">
        <v>123.15900000000001</v>
      </c>
      <c r="K14">
        <v>204.114</v>
      </c>
      <c r="L14">
        <v>317.32799999999997</v>
      </c>
      <c r="M14">
        <v>476.05200000000002</v>
      </c>
      <c r="N14">
        <v>704.83100000000002</v>
      </c>
    </row>
    <row r="15" spans="1:14">
      <c r="A15" t="s">
        <v>29</v>
      </c>
      <c r="B15">
        <v>15.78</v>
      </c>
      <c r="C15">
        <v>56.628999999999998</v>
      </c>
      <c r="D15">
        <v>169.13499999999999</v>
      </c>
      <c r="E15">
        <v>476.17500000000001</v>
      </c>
      <c r="F15">
        <v>1445.982</v>
      </c>
      <c r="I15" t="s">
        <v>29</v>
      </c>
      <c r="J15">
        <v>122.277</v>
      </c>
      <c r="K15">
        <v>203.21700000000001</v>
      </c>
      <c r="L15">
        <v>326.08499999999998</v>
      </c>
      <c r="M15">
        <v>483.09899999999999</v>
      </c>
      <c r="N15">
        <v>701.71199999999999</v>
      </c>
    </row>
    <row r="16" spans="1:14">
      <c r="A16" t="s">
        <v>30</v>
      </c>
      <c r="B16">
        <v>15.538</v>
      </c>
      <c r="C16">
        <v>55.868000000000002</v>
      </c>
      <c r="D16">
        <v>162.30600000000001</v>
      </c>
      <c r="E16">
        <v>476.78399999999999</v>
      </c>
      <c r="F16">
        <v>1437.096</v>
      </c>
      <c r="I16" t="s">
        <v>30</v>
      </c>
      <c r="J16">
        <v>124.124</v>
      </c>
      <c r="K16">
        <v>203.42099999999999</v>
      </c>
      <c r="L16">
        <v>318.60599999999999</v>
      </c>
      <c r="M16">
        <v>476.16199999999998</v>
      </c>
      <c r="N16">
        <v>704.31899999999996</v>
      </c>
    </row>
    <row r="17" spans="1:14">
      <c r="A17" t="s">
        <v>10</v>
      </c>
      <c r="B17">
        <f>AVERAGE(B12:B16)</f>
        <v>15.666999999999998</v>
      </c>
      <c r="C17">
        <f t="shared" ref="C17:F17" si="2">AVERAGE(C12:C16)</f>
        <v>56.015200000000007</v>
      </c>
      <c r="D17">
        <f t="shared" si="2"/>
        <v>167.36280000000002</v>
      </c>
      <c r="E17">
        <f t="shared" si="2"/>
        <v>479.5652</v>
      </c>
      <c r="F17">
        <f t="shared" si="2"/>
        <v>1442.6097999999997</v>
      </c>
      <c r="I17" t="s">
        <v>10</v>
      </c>
      <c r="J17">
        <f t="shared" ref="J17:M17" si="3">AVERAGE(J12:J16)</f>
        <v>122.0214</v>
      </c>
      <c r="K17">
        <f t="shared" si="3"/>
        <v>205.30079999999998</v>
      </c>
      <c r="L17">
        <f t="shared" si="3"/>
        <v>322.69040000000001</v>
      </c>
      <c r="M17">
        <f t="shared" si="3"/>
        <v>478.29799999999994</v>
      </c>
      <c r="N17">
        <f>AVERAGE(N12:N16)</f>
        <v>706.51260000000002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7AD86-C16E-43AD-822E-2FA812E0B520}">
  <dimension ref="A1:N17"/>
  <sheetViews>
    <sheetView workbookViewId="0">
      <selection activeCell="O11" sqref="O11"/>
    </sheetView>
  </sheetViews>
  <sheetFormatPr defaultRowHeight="15"/>
  <cols>
    <col min="1" max="1" width="19" customWidth="1"/>
    <col min="9" max="9" width="18.85546875" customWidth="1"/>
  </cols>
  <sheetData>
    <row r="1" spans="1:14">
      <c r="A1" t="str">
        <f>Performance!A1</f>
        <v>Breadth = 3</v>
      </c>
      <c r="I1" t="str">
        <f>Performance!I1</f>
        <v>Depth = 6</v>
      </c>
    </row>
    <row r="2" spans="1:14">
      <c r="A2" t="str">
        <f>Performance!A2</f>
        <v>Depth</v>
      </c>
      <c r="B2">
        <f>Performance!B2</f>
        <v>9</v>
      </c>
      <c r="C2">
        <f>Performance!C2</f>
        <v>10</v>
      </c>
      <c r="D2">
        <f>Performance!D2</f>
        <v>11</v>
      </c>
      <c r="E2">
        <f>Performance!E2</f>
        <v>12</v>
      </c>
      <c r="F2">
        <f>Performance!F2</f>
        <v>13</v>
      </c>
      <c r="I2" t="str">
        <f>Performance!I2</f>
        <v>Breadth</v>
      </c>
      <c r="J2">
        <f>Performance!J2</f>
        <v>9</v>
      </c>
      <c r="K2">
        <f>Performance!K2</f>
        <v>10</v>
      </c>
      <c r="L2">
        <f>Performance!L2</f>
        <v>11</v>
      </c>
      <c r="M2">
        <f>Performance!M2</f>
        <v>12</v>
      </c>
      <c r="N2">
        <f>Performance!N2</f>
        <v>13</v>
      </c>
    </row>
    <row r="3" spans="1:14">
      <c r="A3" t="str">
        <f>Performance!A3</f>
        <v>Node count</v>
      </c>
      <c r="B3">
        <f>Performance!B3</f>
        <v>9841</v>
      </c>
      <c r="C3">
        <f>Performance!C3</f>
        <v>29524</v>
      </c>
      <c r="D3">
        <f>Performance!D3</f>
        <v>88573</v>
      </c>
      <c r="E3">
        <f>Performance!E3</f>
        <v>265720</v>
      </c>
      <c r="F3">
        <f>Performance!F3</f>
        <v>797161</v>
      </c>
      <c r="I3" t="str">
        <f>Performance!I3</f>
        <v>Node count</v>
      </c>
      <c r="J3">
        <f>Performance!J3</f>
        <v>66430</v>
      </c>
      <c r="K3">
        <f>Performance!K3</f>
        <v>111111</v>
      </c>
      <c r="L3">
        <f>Performance!L3</f>
        <v>177156</v>
      </c>
      <c r="M3">
        <f>Performance!M3</f>
        <v>271453</v>
      </c>
      <c r="N3">
        <f>Performance!N3</f>
        <v>402234</v>
      </c>
    </row>
    <row r="4" spans="1:14">
      <c r="A4" t="s">
        <v>25</v>
      </c>
      <c r="I4" t="s">
        <v>25</v>
      </c>
    </row>
    <row r="5" spans="1:14">
      <c r="A5" t="s">
        <v>26</v>
      </c>
      <c r="B5">
        <v>11.272</v>
      </c>
      <c r="C5">
        <v>32.600999999999999</v>
      </c>
      <c r="D5">
        <v>113.724</v>
      </c>
      <c r="E5">
        <v>350.83800000000002</v>
      </c>
      <c r="F5">
        <v>941.83799999999997</v>
      </c>
      <c r="I5" t="s">
        <v>26</v>
      </c>
      <c r="J5">
        <v>70.819000000000003</v>
      </c>
      <c r="K5">
        <v>123.431</v>
      </c>
      <c r="L5">
        <v>193.565</v>
      </c>
      <c r="M5">
        <v>309.59399999999999</v>
      </c>
      <c r="N5">
        <v>462.19499999999999</v>
      </c>
    </row>
    <row r="6" spans="1:14">
      <c r="A6" t="s">
        <v>27</v>
      </c>
      <c r="B6">
        <v>10.092000000000001</v>
      </c>
      <c r="C6">
        <v>35.347000000000001</v>
      </c>
      <c r="D6">
        <v>115.887</v>
      </c>
      <c r="E6">
        <v>355.04899999999998</v>
      </c>
      <c r="F6">
        <v>941.15300000000002</v>
      </c>
      <c r="I6" t="s">
        <v>27</v>
      </c>
      <c r="J6">
        <v>68.786000000000001</v>
      </c>
      <c r="K6">
        <v>123.41500000000001</v>
      </c>
      <c r="L6">
        <v>192.10300000000001</v>
      </c>
      <c r="M6">
        <v>295.15300000000002</v>
      </c>
      <c r="N6">
        <v>427.27300000000002</v>
      </c>
    </row>
    <row r="7" spans="1:14">
      <c r="A7" t="s">
        <v>28</v>
      </c>
      <c r="B7">
        <v>10.071</v>
      </c>
      <c r="C7">
        <v>35.356000000000002</v>
      </c>
      <c r="D7">
        <v>115.51900000000001</v>
      </c>
      <c r="E7">
        <v>344.767</v>
      </c>
      <c r="F7">
        <v>919.43499999999995</v>
      </c>
      <c r="I7" t="s">
        <v>28</v>
      </c>
      <c r="J7">
        <v>69.257999999999996</v>
      </c>
      <c r="K7">
        <v>123.489</v>
      </c>
      <c r="L7">
        <v>198.375</v>
      </c>
      <c r="M7">
        <v>304.13200000000001</v>
      </c>
      <c r="N7">
        <v>429.69200000000001</v>
      </c>
    </row>
    <row r="8" spans="1:14">
      <c r="A8" t="s">
        <v>29</v>
      </c>
      <c r="B8">
        <v>10.704000000000001</v>
      </c>
      <c r="C8">
        <v>32.595999999999997</v>
      </c>
      <c r="D8">
        <v>112.19799999999999</v>
      </c>
      <c r="E8">
        <v>334.25700000000001</v>
      </c>
      <c r="F8">
        <v>952.29700000000003</v>
      </c>
      <c r="I8" t="s">
        <v>29</v>
      </c>
      <c r="J8">
        <v>70.25</v>
      </c>
      <c r="K8">
        <v>123.346</v>
      </c>
      <c r="L8">
        <v>198.25800000000001</v>
      </c>
      <c r="M8">
        <v>301.71800000000002</v>
      </c>
      <c r="N8">
        <v>420.589</v>
      </c>
    </row>
    <row r="9" spans="1:14">
      <c r="A9" t="s">
        <v>30</v>
      </c>
      <c r="B9">
        <v>10.917999999999999</v>
      </c>
      <c r="C9">
        <v>31.48</v>
      </c>
      <c r="D9">
        <v>110.34399999999999</v>
      </c>
      <c r="E9">
        <v>336.44</v>
      </c>
      <c r="F9">
        <v>928.49199999999996</v>
      </c>
      <c r="I9" t="s">
        <v>30</v>
      </c>
      <c r="J9">
        <v>70.477999999999994</v>
      </c>
      <c r="K9">
        <v>121.387</v>
      </c>
      <c r="L9">
        <v>198.709</v>
      </c>
      <c r="M9">
        <v>301.74099999999999</v>
      </c>
      <c r="N9">
        <v>423.80099999999999</v>
      </c>
    </row>
    <row r="10" spans="1:14">
      <c r="A10" t="s">
        <v>10</v>
      </c>
      <c r="B10">
        <f>AVERAGE(B5:B9)</f>
        <v>10.6114</v>
      </c>
      <c r="C10">
        <f t="shared" ref="C10:F10" si="0">AVERAGE(C5:C9)</f>
        <v>33.475999999999999</v>
      </c>
      <c r="D10">
        <f t="shared" si="0"/>
        <v>113.53440000000001</v>
      </c>
      <c r="E10">
        <f t="shared" si="0"/>
        <v>344.27020000000005</v>
      </c>
      <c r="F10">
        <f t="shared" si="0"/>
        <v>936.64300000000003</v>
      </c>
      <c r="I10" t="s">
        <v>10</v>
      </c>
      <c r="J10">
        <f t="shared" ref="J10:M10" si="1">AVERAGE(J5:J9)</f>
        <v>69.918199999999999</v>
      </c>
      <c r="K10">
        <f t="shared" si="1"/>
        <v>123.0136</v>
      </c>
      <c r="L10">
        <f t="shared" si="1"/>
        <v>196.202</v>
      </c>
      <c r="M10">
        <f t="shared" si="1"/>
        <v>302.46760000000006</v>
      </c>
      <c r="N10">
        <f>AVERAGE(N5:N9)</f>
        <v>432.71000000000004</v>
      </c>
    </row>
    <row r="11" spans="1:14">
      <c r="A11" t="s">
        <v>31</v>
      </c>
      <c r="I11" t="s">
        <v>31</v>
      </c>
    </row>
    <row r="12" spans="1:14">
      <c r="A12" t="s">
        <v>26</v>
      </c>
      <c r="B12">
        <v>11.135</v>
      </c>
      <c r="C12">
        <v>41.387999999999998</v>
      </c>
      <c r="D12">
        <v>123.712</v>
      </c>
      <c r="E12">
        <v>352.56900000000002</v>
      </c>
      <c r="F12">
        <v>1056.471</v>
      </c>
      <c r="I12" t="s">
        <v>26</v>
      </c>
      <c r="J12">
        <v>90.941999999999993</v>
      </c>
      <c r="K12">
        <v>152.31700000000001</v>
      </c>
      <c r="L12">
        <v>244.86699999999999</v>
      </c>
      <c r="M12">
        <v>360.64400000000001</v>
      </c>
      <c r="N12">
        <v>524.14599999999996</v>
      </c>
    </row>
    <row r="13" spans="1:14">
      <c r="A13" t="s">
        <v>27</v>
      </c>
      <c r="B13">
        <v>11.265000000000001</v>
      </c>
      <c r="C13">
        <v>41.012999999999998</v>
      </c>
      <c r="D13">
        <v>123.524</v>
      </c>
      <c r="E13">
        <v>360.82100000000003</v>
      </c>
      <c r="F13">
        <v>1072.9760000000001</v>
      </c>
      <c r="I13" t="s">
        <v>27</v>
      </c>
      <c r="J13">
        <v>93.406999999999996</v>
      </c>
      <c r="K13">
        <v>151.70599999999999</v>
      </c>
      <c r="L13">
        <v>240.875</v>
      </c>
      <c r="M13">
        <v>356.79300000000001</v>
      </c>
      <c r="N13">
        <v>524.178</v>
      </c>
    </row>
    <row r="14" spans="1:14">
      <c r="A14" t="s">
        <v>28</v>
      </c>
      <c r="B14">
        <v>11.231</v>
      </c>
      <c r="C14">
        <v>41.063000000000002</v>
      </c>
      <c r="D14">
        <v>123.545</v>
      </c>
      <c r="E14">
        <v>352.68099999999998</v>
      </c>
      <c r="F14">
        <v>1066.7639999999999</v>
      </c>
      <c r="I14" t="s">
        <v>28</v>
      </c>
      <c r="J14">
        <v>90.975999999999999</v>
      </c>
      <c r="K14">
        <v>155.88999999999999</v>
      </c>
      <c r="L14">
        <v>232.84299999999999</v>
      </c>
      <c r="M14">
        <v>353.75900000000001</v>
      </c>
      <c r="N14">
        <v>527.25400000000002</v>
      </c>
    </row>
    <row r="15" spans="1:14">
      <c r="A15" t="s">
        <v>29</v>
      </c>
      <c r="B15">
        <v>11.069000000000001</v>
      </c>
      <c r="C15">
        <v>41.118000000000002</v>
      </c>
      <c r="D15">
        <v>123.387</v>
      </c>
      <c r="E15">
        <v>356.65199999999999</v>
      </c>
      <c r="F15">
        <v>1086.125</v>
      </c>
      <c r="I15" t="s">
        <v>29</v>
      </c>
      <c r="J15">
        <v>90.89</v>
      </c>
      <c r="K15">
        <v>153.62799999999999</v>
      </c>
      <c r="L15">
        <v>237.28200000000001</v>
      </c>
      <c r="M15">
        <v>352.4</v>
      </c>
      <c r="N15">
        <v>519.90700000000004</v>
      </c>
    </row>
    <row r="16" spans="1:14">
      <c r="A16" t="s">
        <v>30</v>
      </c>
      <c r="B16">
        <v>11.23</v>
      </c>
      <c r="C16">
        <v>40.997</v>
      </c>
      <c r="D16">
        <v>122.434</v>
      </c>
      <c r="E16">
        <v>353.38200000000001</v>
      </c>
      <c r="F16">
        <v>1063.346</v>
      </c>
      <c r="I16" t="s">
        <v>30</v>
      </c>
      <c r="J16">
        <v>91.117000000000004</v>
      </c>
      <c r="K16">
        <v>150.63399999999999</v>
      </c>
      <c r="L16">
        <v>236.898</v>
      </c>
      <c r="M16">
        <v>355.79700000000003</v>
      </c>
      <c r="N16">
        <v>520.78399999999999</v>
      </c>
    </row>
    <row r="17" spans="1:14">
      <c r="A17" t="s">
        <v>10</v>
      </c>
      <c r="B17">
        <f>AVERAGE(B12:B16)</f>
        <v>11.186000000000002</v>
      </c>
      <c r="C17">
        <f t="shared" ref="C17:F17" si="2">AVERAGE(C12:C16)</f>
        <v>41.1158</v>
      </c>
      <c r="D17">
        <f t="shared" si="2"/>
        <v>123.32039999999999</v>
      </c>
      <c r="E17">
        <f t="shared" si="2"/>
        <v>355.22100000000006</v>
      </c>
      <c r="F17">
        <f t="shared" si="2"/>
        <v>1069.1364000000001</v>
      </c>
      <c r="I17" t="s">
        <v>10</v>
      </c>
      <c r="J17">
        <f t="shared" ref="J17:M17" si="3">AVERAGE(J12:J16)</f>
        <v>91.466399999999993</v>
      </c>
      <c r="K17">
        <f t="shared" si="3"/>
        <v>152.83499999999998</v>
      </c>
      <c r="L17">
        <f t="shared" si="3"/>
        <v>238.55299999999997</v>
      </c>
      <c r="M17">
        <f t="shared" si="3"/>
        <v>355.87860000000001</v>
      </c>
      <c r="N17">
        <f>AVERAGE(N12:N16)</f>
        <v>523.25380000000007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EEB9C-45C0-46E1-A989-21387E06701A}">
  <dimension ref="A1:N17"/>
  <sheetViews>
    <sheetView workbookViewId="0">
      <selection activeCell="P14" sqref="P14"/>
    </sheetView>
  </sheetViews>
  <sheetFormatPr defaultRowHeight="15"/>
  <cols>
    <col min="1" max="1" width="17.85546875" customWidth="1"/>
    <col min="6" max="6" width="9.28515625" bestFit="1" customWidth="1"/>
    <col min="9" max="9" width="17.7109375" customWidth="1"/>
  </cols>
  <sheetData>
    <row r="1" spans="1:14">
      <c r="A1" t="str">
        <f>Performance!A1</f>
        <v>Breadth = 3</v>
      </c>
      <c r="I1" t="str">
        <f>Performance!I1</f>
        <v>Depth = 6</v>
      </c>
    </row>
    <row r="2" spans="1:14">
      <c r="A2" t="str">
        <f>Performance!A2</f>
        <v>Depth</v>
      </c>
      <c r="B2">
        <f>Performance!B2</f>
        <v>9</v>
      </c>
      <c r="C2">
        <f>Performance!C2</f>
        <v>10</v>
      </c>
      <c r="D2">
        <f>Performance!D2</f>
        <v>11</v>
      </c>
      <c r="E2">
        <f>Performance!E2</f>
        <v>12</v>
      </c>
      <c r="F2">
        <f>Performance!F2</f>
        <v>13</v>
      </c>
      <c r="I2" t="str">
        <f>Performance!I2</f>
        <v>Breadth</v>
      </c>
      <c r="J2">
        <f>Performance!J2</f>
        <v>9</v>
      </c>
      <c r="K2">
        <f>Performance!K2</f>
        <v>10</v>
      </c>
      <c r="L2">
        <f>Performance!L2</f>
        <v>11</v>
      </c>
      <c r="M2">
        <f>Performance!M2</f>
        <v>12</v>
      </c>
      <c r="N2">
        <f>Performance!N2</f>
        <v>13</v>
      </c>
    </row>
    <row r="3" spans="1:14">
      <c r="A3" t="str">
        <f>Performance!A3</f>
        <v>Node count</v>
      </c>
      <c r="B3">
        <f>Performance!B3</f>
        <v>9841</v>
      </c>
      <c r="C3">
        <f>Performance!C3</f>
        <v>29524</v>
      </c>
      <c r="D3">
        <f>Performance!D3</f>
        <v>88573</v>
      </c>
      <c r="E3">
        <f>Performance!E3</f>
        <v>265720</v>
      </c>
      <c r="F3">
        <f>Performance!F3</f>
        <v>797161</v>
      </c>
      <c r="I3" t="str">
        <f>Performance!I3</f>
        <v>Node count</v>
      </c>
      <c r="J3">
        <f>Performance!J3</f>
        <v>66430</v>
      </c>
      <c r="K3">
        <f>Performance!K3</f>
        <v>111111</v>
      </c>
      <c r="L3">
        <f>Performance!L3</f>
        <v>177156</v>
      </c>
      <c r="M3">
        <f>Performance!M3</f>
        <v>271453</v>
      </c>
      <c r="N3">
        <f>Performance!N3</f>
        <v>402234</v>
      </c>
    </row>
    <row r="4" spans="1:14">
      <c r="A4" t="s">
        <v>25</v>
      </c>
      <c r="I4" t="s">
        <v>25</v>
      </c>
    </row>
    <row r="5" spans="1:14">
      <c r="A5" t="s">
        <v>26</v>
      </c>
      <c r="B5">
        <v>20.215</v>
      </c>
      <c r="C5">
        <v>65.013999999999996</v>
      </c>
      <c r="D5">
        <v>224.68199999999999</v>
      </c>
      <c r="E5">
        <v>635.79200000000003</v>
      </c>
      <c r="F5">
        <v>1881.2739999999999</v>
      </c>
      <c r="I5" t="s">
        <v>26</v>
      </c>
      <c r="J5">
        <v>147.55500000000001</v>
      </c>
      <c r="K5">
        <v>253.46199999999999</v>
      </c>
      <c r="L5">
        <v>406.38799999999998</v>
      </c>
      <c r="M5">
        <v>611.10299999999995</v>
      </c>
      <c r="N5">
        <v>901.67</v>
      </c>
    </row>
    <row r="6" spans="1:14">
      <c r="A6" t="s">
        <v>27</v>
      </c>
      <c r="B6">
        <v>19.934000000000001</v>
      </c>
      <c r="C6">
        <v>64.497</v>
      </c>
      <c r="D6">
        <v>210.77500000000001</v>
      </c>
      <c r="E6">
        <v>634.38499999999999</v>
      </c>
      <c r="F6">
        <v>1885.682</v>
      </c>
      <c r="I6" t="s">
        <v>27</v>
      </c>
      <c r="J6">
        <v>148.63300000000001</v>
      </c>
      <c r="K6">
        <v>254.56700000000001</v>
      </c>
      <c r="L6">
        <v>400.92399999999998</v>
      </c>
      <c r="M6">
        <v>609.91099999999994</v>
      </c>
      <c r="N6">
        <v>912.54499999999996</v>
      </c>
    </row>
    <row r="7" spans="1:14">
      <c r="A7" t="s">
        <v>28</v>
      </c>
      <c r="B7">
        <v>20.077000000000002</v>
      </c>
      <c r="C7">
        <v>65.138999999999996</v>
      </c>
      <c r="D7">
        <v>211.36</v>
      </c>
      <c r="E7">
        <v>625.06799999999998</v>
      </c>
      <c r="F7">
        <v>1936.8219999999999</v>
      </c>
      <c r="I7" t="s">
        <v>28</v>
      </c>
      <c r="J7">
        <v>149.23599999999999</v>
      </c>
      <c r="K7">
        <v>249.97900000000001</v>
      </c>
      <c r="L7">
        <v>402.18700000000001</v>
      </c>
      <c r="M7">
        <v>630.96400000000006</v>
      </c>
      <c r="N7">
        <v>915.94500000000005</v>
      </c>
    </row>
    <row r="8" spans="1:14">
      <c r="A8" t="s">
        <v>29</v>
      </c>
      <c r="B8">
        <v>20.128</v>
      </c>
      <c r="C8">
        <v>65.227999999999994</v>
      </c>
      <c r="D8">
        <v>209.875</v>
      </c>
      <c r="E8">
        <v>628.45600000000002</v>
      </c>
      <c r="F8">
        <v>1916.0119999999999</v>
      </c>
      <c r="I8" t="s">
        <v>29</v>
      </c>
      <c r="J8">
        <v>149.11500000000001</v>
      </c>
      <c r="K8">
        <v>251.97900000000001</v>
      </c>
      <c r="L8">
        <v>402.92399999999998</v>
      </c>
      <c r="M8">
        <v>600.10400000000004</v>
      </c>
      <c r="N8">
        <v>898.93200000000002</v>
      </c>
    </row>
    <row r="9" spans="1:14">
      <c r="A9" t="s">
        <v>30</v>
      </c>
      <c r="B9">
        <v>19.922999999999998</v>
      </c>
      <c r="C9">
        <v>65.311999999999998</v>
      </c>
      <c r="D9">
        <v>219.35300000000001</v>
      </c>
      <c r="E9">
        <v>626.69000000000005</v>
      </c>
      <c r="F9">
        <v>1911.627</v>
      </c>
      <c r="I9" t="s">
        <v>30</v>
      </c>
      <c r="J9">
        <v>147.001</v>
      </c>
      <c r="K9">
        <v>248.803</v>
      </c>
      <c r="L9">
        <v>402.3</v>
      </c>
      <c r="M9">
        <v>608.947</v>
      </c>
      <c r="N9">
        <v>907.75699999999995</v>
      </c>
    </row>
    <row r="10" spans="1:14">
      <c r="A10" t="s">
        <v>10</v>
      </c>
      <c r="B10">
        <f>AVERAGE(B5:B9)</f>
        <v>20.055399999999999</v>
      </c>
      <c r="C10">
        <f t="shared" ref="C10:F10" si="0">AVERAGE(C5:C9)</f>
        <v>65.037999999999997</v>
      </c>
      <c r="D10">
        <f t="shared" si="0"/>
        <v>215.209</v>
      </c>
      <c r="E10">
        <f t="shared" si="0"/>
        <v>630.07820000000004</v>
      </c>
      <c r="F10">
        <f t="shared" si="0"/>
        <v>1906.2833999999998</v>
      </c>
      <c r="I10" t="s">
        <v>10</v>
      </c>
      <c r="J10">
        <f t="shared" ref="J10:M10" si="1">AVERAGE(J5:J9)</f>
        <v>148.30799999999999</v>
      </c>
      <c r="K10">
        <f t="shared" si="1"/>
        <v>251.75799999999998</v>
      </c>
      <c r="L10">
        <f t="shared" si="1"/>
        <v>402.94459999999992</v>
      </c>
      <c r="M10">
        <f t="shared" si="1"/>
        <v>612.20580000000007</v>
      </c>
      <c r="N10">
        <f>AVERAGE(N5:N9)</f>
        <v>907.36979999999983</v>
      </c>
    </row>
    <row r="11" spans="1:14">
      <c r="A11" t="s">
        <v>31</v>
      </c>
      <c r="I11" t="s">
        <v>31</v>
      </c>
    </row>
    <row r="12" spans="1:14">
      <c r="A12" t="s">
        <v>26</v>
      </c>
      <c r="B12">
        <v>11.273</v>
      </c>
      <c r="C12">
        <v>43.643999999999998</v>
      </c>
      <c r="D12">
        <v>132.012</v>
      </c>
      <c r="E12">
        <v>366.81400000000002</v>
      </c>
      <c r="F12">
        <v>1124.143</v>
      </c>
      <c r="I12" t="s">
        <v>26</v>
      </c>
      <c r="J12">
        <v>94.534000000000006</v>
      </c>
      <c r="K12">
        <v>158.30199999999999</v>
      </c>
      <c r="L12">
        <v>239.554</v>
      </c>
      <c r="M12">
        <v>363.23099999999999</v>
      </c>
      <c r="N12">
        <v>538.91099999999994</v>
      </c>
    </row>
    <row r="13" spans="1:14">
      <c r="A13" t="s">
        <v>27</v>
      </c>
      <c r="B13">
        <v>11.297000000000001</v>
      </c>
      <c r="C13">
        <v>42.981000000000002</v>
      </c>
      <c r="D13">
        <v>124.786</v>
      </c>
      <c r="E13">
        <v>370.29399999999998</v>
      </c>
      <c r="F13">
        <v>1124.4670000000001</v>
      </c>
      <c r="I13" t="s">
        <v>27</v>
      </c>
      <c r="J13">
        <v>93.453000000000003</v>
      </c>
      <c r="K13">
        <v>149.916</v>
      </c>
      <c r="L13">
        <v>240.54400000000001</v>
      </c>
      <c r="M13">
        <v>363.517</v>
      </c>
      <c r="N13">
        <v>536.48299999999995</v>
      </c>
    </row>
    <row r="14" spans="1:14">
      <c r="A14" t="s">
        <v>28</v>
      </c>
      <c r="B14">
        <v>11.467000000000001</v>
      </c>
      <c r="C14">
        <v>42.677999999999997</v>
      </c>
      <c r="D14">
        <v>125.232</v>
      </c>
      <c r="E14">
        <v>367.303</v>
      </c>
      <c r="F14">
        <v>1134.9739999999999</v>
      </c>
      <c r="I14" t="s">
        <v>28</v>
      </c>
      <c r="J14">
        <v>95.013999999999996</v>
      </c>
      <c r="K14">
        <v>150.68100000000001</v>
      </c>
      <c r="L14">
        <v>239.90299999999999</v>
      </c>
      <c r="M14">
        <v>365.84500000000003</v>
      </c>
      <c r="N14">
        <v>549.84100000000001</v>
      </c>
    </row>
    <row r="15" spans="1:14">
      <c r="A15" t="s">
        <v>29</v>
      </c>
      <c r="B15">
        <v>11.32</v>
      </c>
      <c r="C15">
        <v>44.082000000000001</v>
      </c>
      <c r="D15">
        <v>130.95699999999999</v>
      </c>
      <c r="E15">
        <v>375.02100000000002</v>
      </c>
      <c r="F15">
        <v>1150.3209999999999</v>
      </c>
      <c r="I15" t="s">
        <v>29</v>
      </c>
      <c r="J15">
        <v>95.162999999999997</v>
      </c>
      <c r="K15">
        <v>151.977</v>
      </c>
      <c r="L15">
        <v>237.98500000000001</v>
      </c>
      <c r="M15">
        <v>367.38600000000002</v>
      </c>
      <c r="N15">
        <v>542.23699999999997</v>
      </c>
    </row>
    <row r="16" spans="1:14">
      <c r="A16" t="s">
        <v>30</v>
      </c>
      <c r="B16">
        <v>11.603</v>
      </c>
      <c r="C16">
        <v>43.107999999999997</v>
      </c>
      <c r="D16">
        <v>130.15</v>
      </c>
      <c r="E16">
        <v>367.524</v>
      </c>
      <c r="F16">
        <v>1133.364</v>
      </c>
      <c r="I16" t="s">
        <v>30</v>
      </c>
      <c r="J16">
        <v>94.064999999999998</v>
      </c>
      <c r="K16">
        <v>153.49600000000001</v>
      </c>
      <c r="L16">
        <v>240.48599999999999</v>
      </c>
      <c r="M16">
        <v>366.79899999999998</v>
      </c>
      <c r="N16">
        <v>539.81799999999998</v>
      </c>
    </row>
    <row r="17" spans="1:14">
      <c r="A17" t="s">
        <v>10</v>
      </c>
      <c r="B17">
        <f>AVERAGE(B12:B16)</f>
        <v>11.391999999999999</v>
      </c>
      <c r="C17">
        <f t="shared" ref="C17:F17" si="2">AVERAGE(C12:C16)</f>
        <v>43.2986</v>
      </c>
      <c r="D17">
        <f t="shared" si="2"/>
        <v>128.62739999999999</v>
      </c>
      <c r="E17">
        <f t="shared" si="2"/>
        <v>369.39120000000003</v>
      </c>
      <c r="F17">
        <f t="shared" si="2"/>
        <v>1133.4538</v>
      </c>
      <c r="I17" t="s">
        <v>10</v>
      </c>
      <c r="J17">
        <f t="shared" ref="J17:M17" si="3">AVERAGE(J12:J16)</f>
        <v>94.445800000000006</v>
      </c>
      <c r="K17">
        <f t="shared" si="3"/>
        <v>152.87439999999998</v>
      </c>
      <c r="L17">
        <f t="shared" si="3"/>
        <v>239.6944</v>
      </c>
      <c r="M17">
        <f t="shared" si="3"/>
        <v>365.35559999999998</v>
      </c>
      <c r="N17">
        <f>AVERAGE(N12:N16)</f>
        <v>541.45799999999997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FA1CB-C34A-4A1D-B3BE-BD6B91E6A431}">
  <dimension ref="A1:N17"/>
  <sheetViews>
    <sheetView workbookViewId="0">
      <selection activeCell="J17" sqref="J17"/>
    </sheetView>
  </sheetViews>
  <sheetFormatPr defaultRowHeight="15"/>
  <cols>
    <col min="1" max="1" width="18.28515625" customWidth="1"/>
    <col min="9" max="9" width="18.140625" customWidth="1"/>
  </cols>
  <sheetData>
    <row r="1" spans="1:14">
      <c r="A1" t="str">
        <f>Performance!A1</f>
        <v>Breadth = 3</v>
      </c>
      <c r="I1" t="str">
        <f>Performance!I1</f>
        <v>Depth = 6</v>
      </c>
    </row>
    <row r="2" spans="1:14">
      <c r="A2" t="str">
        <f>Performance!A2</f>
        <v>Depth</v>
      </c>
      <c r="B2">
        <f>Performance!B2</f>
        <v>9</v>
      </c>
      <c r="C2">
        <f>Performance!C2</f>
        <v>10</v>
      </c>
      <c r="D2">
        <f>Performance!D2</f>
        <v>11</v>
      </c>
      <c r="E2">
        <f>Performance!E2</f>
        <v>12</v>
      </c>
      <c r="F2">
        <f>Performance!F2</f>
        <v>13</v>
      </c>
      <c r="I2" t="str">
        <f>Performance!I2</f>
        <v>Breadth</v>
      </c>
      <c r="J2">
        <f>Performance!J2</f>
        <v>9</v>
      </c>
      <c r="K2">
        <f>Performance!K2</f>
        <v>10</v>
      </c>
      <c r="L2">
        <f>Performance!L2</f>
        <v>11</v>
      </c>
      <c r="M2">
        <f>Performance!M2</f>
        <v>12</v>
      </c>
      <c r="N2">
        <f>Performance!N2</f>
        <v>13</v>
      </c>
    </row>
    <row r="3" spans="1:14">
      <c r="A3" t="str">
        <f>Performance!A3</f>
        <v>Node count</v>
      </c>
      <c r="B3">
        <f>Performance!B3</f>
        <v>9841</v>
      </c>
      <c r="C3">
        <f>Performance!C3</f>
        <v>29524</v>
      </c>
      <c r="D3">
        <f>Performance!D3</f>
        <v>88573</v>
      </c>
      <c r="E3">
        <f>Performance!E3</f>
        <v>265720</v>
      </c>
      <c r="F3">
        <f>Performance!F3</f>
        <v>797161</v>
      </c>
      <c r="I3" t="str">
        <f>Performance!I3</f>
        <v>Node count</v>
      </c>
      <c r="J3">
        <f>Performance!J3</f>
        <v>66430</v>
      </c>
      <c r="K3">
        <f>Performance!K3</f>
        <v>111111</v>
      </c>
      <c r="L3">
        <f>Performance!L3</f>
        <v>177156</v>
      </c>
      <c r="M3">
        <f>Performance!M3</f>
        <v>271453</v>
      </c>
      <c r="N3">
        <f>Performance!N3</f>
        <v>402234</v>
      </c>
    </row>
    <row r="4" spans="1:14">
      <c r="A4" t="s">
        <v>25</v>
      </c>
      <c r="I4" t="s">
        <v>25</v>
      </c>
    </row>
    <row r="5" spans="1:14">
      <c r="A5" t="s">
        <v>26</v>
      </c>
      <c r="B5">
        <v>7.3140000000000001</v>
      </c>
      <c r="C5">
        <v>19.097999999999999</v>
      </c>
      <c r="D5">
        <v>69.875</v>
      </c>
      <c r="E5">
        <v>209.32300000000001</v>
      </c>
      <c r="F5">
        <v>624.44799999999998</v>
      </c>
      <c r="I5" t="s">
        <v>26</v>
      </c>
      <c r="J5">
        <v>43.226999999999997</v>
      </c>
      <c r="K5">
        <v>75.558999999999997</v>
      </c>
      <c r="L5">
        <v>132.316</v>
      </c>
      <c r="M5">
        <v>208.964</v>
      </c>
      <c r="N5">
        <v>284.625</v>
      </c>
    </row>
    <row r="6" spans="1:14">
      <c r="A6" t="s">
        <v>27</v>
      </c>
      <c r="B6">
        <v>6.8360000000000003</v>
      </c>
      <c r="C6">
        <v>18.832000000000001</v>
      </c>
      <c r="D6">
        <v>63.683999999999997</v>
      </c>
      <c r="E6">
        <v>208.15600000000001</v>
      </c>
      <c r="F6">
        <v>618.11199999999997</v>
      </c>
      <c r="I6" t="s">
        <v>27</v>
      </c>
      <c r="J6">
        <v>43.345999999999997</v>
      </c>
      <c r="K6">
        <v>79.394000000000005</v>
      </c>
      <c r="L6">
        <v>136.571</v>
      </c>
      <c r="M6">
        <v>206.41300000000001</v>
      </c>
      <c r="N6">
        <v>311.06700000000001</v>
      </c>
    </row>
    <row r="7" spans="1:14">
      <c r="A7" t="s">
        <v>28</v>
      </c>
      <c r="B7">
        <v>6.7309999999999999</v>
      </c>
      <c r="C7">
        <v>18.902000000000001</v>
      </c>
      <c r="D7">
        <v>63.009</v>
      </c>
      <c r="E7">
        <v>204.91300000000001</v>
      </c>
      <c r="F7">
        <v>619.68700000000001</v>
      </c>
      <c r="I7" t="s">
        <v>28</v>
      </c>
      <c r="J7">
        <v>43.215000000000003</v>
      </c>
      <c r="K7">
        <v>78.849999999999994</v>
      </c>
      <c r="L7">
        <v>128.69800000000001</v>
      </c>
      <c r="M7">
        <v>206.703</v>
      </c>
      <c r="N7">
        <v>310.52800000000002</v>
      </c>
    </row>
    <row r="8" spans="1:14">
      <c r="A8" t="s">
        <v>29</v>
      </c>
      <c r="B8">
        <v>6.7480000000000002</v>
      </c>
      <c r="C8">
        <v>19.056999999999999</v>
      </c>
      <c r="D8">
        <v>63.488</v>
      </c>
      <c r="E8">
        <v>207.274</v>
      </c>
      <c r="F8">
        <v>626.71299999999997</v>
      </c>
      <c r="I8" t="s">
        <v>29</v>
      </c>
      <c r="J8">
        <v>43.305999999999997</v>
      </c>
      <c r="K8">
        <v>79.28</v>
      </c>
      <c r="L8">
        <v>130.82499999999999</v>
      </c>
      <c r="M8">
        <v>209.36199999999999</v>
      </c>
      <c r="N8">
        <v>308.75599999999997</v>
      </c>
    </row>
    <row r="9" spans="1:14">
      <c r="A9" t="s">
        <v>30</v>
      </c>
      <c r="B9">
        <v>6.6760000000000002</v>
      </c>
      <c r="C9">
        <v>18.861000000000001</v>
      </c>
      <c r="D9">
        <v>64.606999999999999</v>
      </c>
      <c r="E9">
        <v>207.738</v>
      </c>
      <c r="F9">
        <v>622.84199999999998</v>
      </c>
      <c r="I9" t="s">
        <v>30</v>
      </c>
      <c r="J9">
        <v>42.972999999999999</v>
      </c>
      <c r="K9">
        <v>78.430000000000007</v>
      </c>
      <c r="L9">
        <v>132.137</v>
      </c>
      <c r="M9">
        <v>204.83600000000001</v>
      </c>
      <c r="N9">
        <v>307.72800000000001</v>
      </c>
    </row>
    <row r="10" spans="1:14">
      <c r="A10" t="s">
        <v>10</v>
      </c>
      <c r="B10">
        <f>AVERAGE(B5:B9)</f>
        <v>6.8609999999999998</v>
      </c>
      <c r="C10">
        <f t="shared" ref="C10:F10" si="0">AVERAGE(C5:C9)</f>
        <v>18.95</v>
      </c>
      <c r="D10">
        <f t="shared" si="0"/>
        <v>64.932600000000008</v>
      </c>
      <c r="E10">
        <f t="shared" si="0"/>
        <v>207.48079999999999</v>
      </c>
      <c r="F10">
        <f t="shared" si="0"/>
        <v>622.36040000000003</v>
      </c>
      <c r="I10" t="s">
        <v>10</v>
      </c>
      <c r="J10">
        <f t="shared" ref="J10:M10" si="1">AVERAGE(J5:J9)</f>
        <v>43.2134</v>
      </c>
      <c r="K10">
        <f t="shared" si="1"/>
        <v>78.302599999999998</v>
      </c>
      <c r="L10">
        <f t="shared" si="1"/>
        <v>132.10939999999999</v>
      </c>
      <c r="M10">
        <f t="shared" si="1"/>
        <v>207.25560000000002</v>
      </c>
      <c r="N10">
        <f>AVERAGE(N5:N9)</f>
        <v>304.54080000000005</v>
      </c>
    </row>
    <row r="11" spans="1:14">
      <c r="A11" t="s">
        <v>31</v>
      </c>
      <c r="I11" t="s">
        <v>31</v>
      </c>
    </row>
    <row r="12" spans="1:14">
      <c r="A12" t="s">
        <v>26</v>
      </c>
      <c r="B12">
        <v>6.9390000000000001</v>
      </c>
      <c r="C12">
        <v>23.318999999999999</v>
      </c>
      <c r="D12">
        <v>83.18</v>
      </c>
      <c r="E12">
        <v>233.828</v>
      </c>
      <c r="F12">
        <v>679.21799999999996</v>
      </c>
      <c r="I12" t="s">
        <v>26</v>
      </c>
      <c r="J12">
        <v>57.872</v>
      </c>
      <c r="K12">
        <v>99.44</v>
      </c>
      <c r="L12">
        <v>156.715</v>
      </c>
      <c r="M12">
        <v>240.82599999999999</v>
      </c>
      <c r="N12">
        <v>319.46800000000002</v>
      </c>
    </row>
    <row r="13" spans="1:14">
      <c r="A13" t="s">
        <v>27</v>
      </c>
      <c r="B13">
        <v>7.0279999999999996</v>
      </c>
      <c r="C13">
        <v>23.651</v>
      </c>
      <c r="D13">
        <v>79.061000000000007</v>
      </c>
      <c r="E13">
        <v>233.16399999999999</v>
      </c>
      <c r="F13">
        <v>679.91099999999994</v>
      </c>
      <c r="I13" t="s">
        <v>27</v>
      </c>
      <c r="J13">
        <v>59.222000000000001</v>
      </c>
      <c r="K13">
        <v>98.465999999999994</v>
      </c>
      <c r="L13">
        <v>159.435</v>
      </c>
      <c r="M13">
        <v>230.28100000000001</v>
      </c>
      <c r="N13">
        <v>343.13099999999997</v>
      </c>
    </row>
    <row r="14" spans="1:14">
      <c r="A14" t="s">
        <v>28</v>
      </c>
      <c r="B14">
        <v>7.0380000000000003</v>
      </c>
      <c r="C14">
        <v>21.361999999999998</v>
      </c>
      <c r="D14">
        <v>80.47</v>
      </c>
      <c r="E14">
        <v>226.733</v>
      </c>
      <c r="F14">
        <v>682.64300000000003</v>
      </c>
      <c r="I14" t="s">
        <v>28</v>
      </c>
      <c r="J14">
        <v>59.165999999999997</v>
      </c>
      <c r="K14">
        <v>98.213999999999999</v>
      </c>
      <c r="L14">
        <v>152.91300000000001</v>
      </c>
      <c r="M14">
        <v>229.357</v>
      </c>
      <c r="N14">
        <v>341.32400000000001</v>
      </c>
    </row>
    <row r="15" spans="1:14">
      <c r="A15" t="s">
        <v>29</v>
      </c>
      <c r="B15">
        <v>6.9939999999999998</v>
      </c>
      <c r="C15">
        <v>22.268000000000001</v>
      </c>
      <c r="D15">
        <v>80.179000000000002</v>
      </c>
      <c r="E15">
        <v>228.97200000000001</v>
      </c>
      <c r="F15">
        <v>682.447</v>
      </c>
      <c r="I15" t="s">
        <v>29</v>
      </c>
      <c r="J15">
        <v>58.965000000000003</v>
      </c>
      <c r="K15">
        <v>99.494</v>
      </c>
      <c r="L15">
        <v>154.94200000000001</v>
      </c>
      <c r="M15">
        <v>234.38300000000001</v>
      </c>
      <c r="N15">
        <v>339.21600000000001</v>
      </c>
    </row>
    <row r="16" spans="1:14">
      <c r="A16" t="s">
        <v>30</v>
      </c>
      <c r="B16">
        <v>6.9560000000000004</v>
      </c>
      <c r="C16">
        <v>23.693000000000001</v>
      </c>
      <c r="D16">
        <v>79.543999999999997</v>
      </c>
      <c r="E16">
        <v>231.74</v>
      </c>
      <c r="F16">
        <v>696.04700000000003</v>
      </c>
      <c r="I16" t="s">
        <v>30</v>
      </c>
      <c r="J16">
        <v>59.604999999999997</v>
      </c>
      <c r="K16">
        <v>98.741</v>
      </c>
      <c r="L16">
        <v>155.596</v>
      </c>
      <c r="M16">
        <v>234.624</v>
      </c>
      <c r="N16">
        <v>341.17</v>
      </c>
    </row>
    <row r="17" spans="1:14">
      <c r="A17" t="s">
        <v>10</v>
      </c>
      <c r="B17">
        <f>AVERAGE(B12:B16)</f>
        <v>6.9909999999999997</v>
      </c>
      <c r="C17">
        <f t="shared" ref="C17:F17" si="2">AVERAGE(C12:C16)</f>
        <v>22.858599999999999</v>
      </c>
      <c r="D17">
        <f t="shared" si="2"/>
        <v>80.486799999999988</v>
      </c>
      <c r="E17">
        <f t="shared" si="2"/>
        <v>230.88739999999999</v>
      </c>
      <c r="F17">
        <f t="shared" si="2"/>
        <v>684.05320000000006</v>
      </c>
      <c r="I17" t="s">
        <v>10</v>
      </c>
      <c r="J17">
        <f t="shared" ref="J17:M17" si="3">AVERAGE(J12:J16)</f>
        <v>58.965999999999994</v>
      </c>
      <c r="K17">
        <f t="shared" si="3"/>
        <v>98.871000000000009</v>
      </c>
      <c r="L17">
        <f t="shared" si="3"/>
        <v>155.92019999999999</v>
      </c>
      <c r="M17">
        <f t="shared" si="3"/>
        <v>233.89420000000001</v>
      </c>
      <c r="N17">
        <f>AVERAGE(N12:N16)</f>
        <v>336.86180000000002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60B89-44B1-4976-BE71-6D3C05C510C3}">
  <dimension ref="A1:N17"/>
  <sheetViews>
    <sheetView workbookViewId="0">
      <selection activeCell="M12" sqref="M12"/>
    </sheetView>
  </sheetViews>
  <sheetFormatPr defaultRowHeight="15"/>
  <cols>
    <col min="1" max="1" width="18.28515625" customWidth="1"/>
    <col min="9" max="9" width="18.28515625" customWidth="1"/>
  </cols>
  <sheetData>
    <row r="1" spans="1:14">
      <c r="A1" t="str">
        <f>Performance!A1</f>
        <v>Breadth = 3</v>
      </c>
      <c r="I1" t="str">
        <f>Performance!I1</f>
        <v>Depth = 6</v>
      </c>
    </row>
    <row r="2" spans="1:14">
      <c r="A2" t="str">
        <f>Performance!A2</f>
        <v>Depth</v>
      </c>
      <c r="B2">
        <f>Performance!B2</f>
        <v>9</v>
      </c>
      <c r="C2">
        <f>Performance!C2</f>
        <v>10</v>
      </c>
      <c r="D2">
        <f>Performance!D2</f>
        <v>11</v>
      </c>
      <c r="E2">
        <f>Performance!E2</f>
        <v>12</v>
      </c>
      <c r="F2">
        <f>Performance!F2</f>
        <v>13</v>
      </c>
      <c r="I2" t="str">
        <f>Performance!I2</f>
        <v>Breadth</v>
      </c>
      <c r="J2">
        <f>Performance!J2</f>
        <v>9</v>
      </c>
      <c r="K2">
        <f>Performance!K2</f>
        <v>10</v>
      </c>
      <c r="L2">
        <f>Performance!L2</f>
        <v>11</v>
      </c>
      <c r="M2">
        <f>Performance!M2</f>
        <v>12</v>
      </c>
      <c r="N2">
        <f>Performance!N2</f>
        <v>13</v>
      </c>
    </row>
    <row r="3" spans="1:14">
      <c r="A3" t="str">
        <f>Performance!A3</f>
        <v>Node count</v>
      </c>
      <c r="B3">
        <f>Performance!B3</f>
        <v>9841</v>
      </c>
      <c r="C3">
        <f>Performance!C3</f>
        <v>29524</v>
      </c>
      <c r="D3">
        <f>Performance!D3</f>
        <v>88573</v>
      </c>
      <c r="E3">
        <f>Performance!E3</f>
        <v>265720</v>
      </c>
      <c r="F3">
        <f>Performance!F3</f>
        <v>797161</v>
      </c>
      <c r="I3" t="str">
        <f>Performance!I3</f>
        <v>Node count</v>
      </c>
      <c r="J3">
        <f>Performance!J3</f>
        <v>66430</v>
      </c>
      <c r="K3">
        <f>Performance!K3</f>
        <v>111111</v>
      </c>
      <c r="L3">
        <f>Performance!L3</f>
        <v>177156</v>
      </c>
      <c r="M3">
        <f>Performance!M3</f>
        <v>271453</v>
      </c>
      <c r="N3">
        <f>Performance!N3</f>
        <v>402234</v>
      </c>
    </row>
    <row r="4" spans="1:14">
      <c r="A4" t="s">
        <v>25</v>
      </c>
      <c r="I4" t="s">
        <v>25</v>
      </c>
    </row>
    <row r="5" spans="1:14">
      <c r="A5" t="s">
        <v>26</v>
      </c>
      <c r="B5">
        <v>2.177</v>
      </c>
      <c r="C5">
        <v>3.6080000000000001</v>
      </c>
      <c r="D5">
        <v>9.5030000000000001</v>
      </c>
      <c r="E5">
        <v>29.843</v>
      </c>
      <c r="F5">
        <v>94.501999999999995</v>
      </c>
      <c r="I5" t="s">
        <v>26</v>
      </c>
      <c r="J5">
        <v>7.1859999999999999</v>
      </c>
      <c r="K5">
        <v>11.513</v>
      </c>
      <c r="L5">
        <v>18.084</v>
      </c>
      <c r="M5">
        <v>28.484999999999999</v>
      </c>
      <c r="N5">
        <v>46.241</v>
      </c>
    </row>
    <row r="6" spans="1:14">
      <c r="A6" t="s">
        <v>27</v>
      </c>
      <c r="B6">
        <v>1.554</v>
      </c>
      <c r="C6">
        <v>3.7109999999999999</v>
      </c>
      <c r="D6">
        <v>9.609</v>
      </c>
      <c r="E6">
        <v>30.716000000000001</v>
      </c>
      <c r="F6">
        <v>89.290999999999997</v>
      </c>
      <c r="I6" t="s">
        <v>27</v>
      </c>
      <c r="J6">
        <v>6.9379999999999997</v>
      </c>
      <c r="K6">
        <v>11.661</v>
      </c>
      <c r="L6">
        <v>18.904</v>
      </c>
      <c r="M6">
        <v>28.675000000000001</v>
      </c>
      <c r="N6">
        <v>45.612000000000002</v>
      </c>
    </row>
    <row r="7" spans="1:14">
      <c r="A7" t="s">
        <v>28</v>
      </c>
      <c r="B7">
        <v>1.8460000000000001</v>
      </c>
      <c r="C7">
        <v>3.657</v>
      </c>
      <c r="D7">
        <v>9.6229999999999993</v>
      </c>
      <c r="E7">
        <v>28.783000000000001</v>
      </c>
      <c r="F7">
        <v>90.025999999999996</v>
      </c>
      <c r="I7" t="s">
        <v>28</v>
      </c>
      <c r="J7">
        <v>7.2389999999999999</v>
      </c>
      <c r="K7">
        <v>11.847</v>
      </c>
      <c r="L7">
        <v>18.347000000000001</v>
      </c>
      <c r="M7">
        <v>27.934999999999999</v>
      </c>
      <c r="N7">
        <v>44.82</v>
      </c>
    </row>
    <row r="8" spans="1:14">
      <c r="A8" t="s">
        <v>29</v>
      </c>
      <c r="B8">
        <v>1.8029999999999999</v>
      </c>
      <c r="C8">
        <v>3.798</v>
      </c>
      <c r="D8">
        <v>9.6419999999999995</v>
      </c>
      <c r="E8">
        <v>27.684999999999999</v>
      </c>
      <c r="F8">
        <v>91.17</v>
      </c>
      <c r="I8" t="s">
        <v>29</v>
      </c>
      <c r="J8">
        <v>7.2309999999999999</v>
      </c>
      <c r="K8">
        <v>11.787000000000001</v>
      </c>
      <c r="L8">
        <v>18.321000000000002</v>
      </c>
      <c r="M8">
        <v>28.742000000000001</v>
      </c>
      <c r="N8">
        <v>45.167000000000002</v>
      </c>
    </row>
    <row r="9" spans="1:14">
      <c r="A9" t="s">
        <v>30</v>
      </c>
      <c r="B9">
        <v>1.7749999999999999</v>
      </c>
      <c r="C9">
        <v>3.452</v>
      </c>
      <c r="D9">
        <v>9.8659999999999997</v>
      </c>
      <c r="E9">
        <v>28.190999999999999</v>
      </c>
      <c r="F9">
        <v>89.14</v>
      </c>
      <c r="I9" t="s">
        <v>30</v>
      </c>
      <c r="J9">
        <v>7.2519999999999998</v>
      </c>
      <c r="K9">
        <v>11.815</v>
      </c>
      <c r="L9">
        <v>18.035</v>
      </c>
      <c r="M9">
        <v>27.907</v>
      </c>
      <c r="N9">
        <v>43.423000000000002</v>
      </c>
    </row>
    <row r="10" spans="1:14">
      <c r="A10" t="s">
        <v>10</v>
      </c>
      <c r="B10">
        <f>AVERAGE(B5:B9)</f>
        <v>1.831</v>
      </c>
      <c r="C10">
        <f t="shared" ref="C10:F10" si="0">AVERAGE(C5:C9)</f>
        <v>3.6452</v>
      </c>
      <c r="D10">
        <f t="shared" si="0"/>
        <v>9.6485999999999983</v>
      </c>
      <c r="E10">
        <f t="shared" si="0"/>
        <v>29.043599999999998</v>
      </c>
      <c r="F10">
        <f t="shared" si="0"/>
        <v>90.825800000000001</v>
      </c>
      <c r="I10" t="s">
        <v>10</v>
      </c>
      <c r="J10">
        <f t="shared" ref="J10:M10" si="1">AVERAGE(J5:J9)</f>
        <v>7.1692000000000009</v>
      </c>
      <c r="K10">
        <f t="shared" si="1"/>
        <v>11.724599999999999</v>
      </c>
      <c r="L10">
        <f t="shared" si="1"/>
        <v>18.338200000000001</v>
      </c>
      <c r="M10">
        <f t="shared" si="1"/>
        <v>28.348800000000001</v>
      </c>
      <c r="N10">
        <f>AVERAGE(N5:N9)</f>
        <v>45.052599999999998</v>
      </c>
    </row>
    <row r="11" spans="1:14">
      <c r="A11" t="s">
        <v>31</v>
      </c>
      <c r="I11" t="s">
        <v>31</v>
      </c>
    </row>
    <row r="12" spans="1:14">
      <c r="A12" t="s">
        <v>26</v>
      </c>
      <c r="B12">
        <v>2.3969999999999998</v>
      </c>
      <c r="C12">
        <v>7.15</v>
      </c>
      <c r="D12">
        <v>23.582000000000001</v>
      </c>
      <c r="E12">
        <v>88.834000000000003</v>
      </c>
      <c r="F12">
        <v>266.49</v>
      </c>
      <c r="I12" t="s">
        <v>26</v>
      </c>
      <c r="J12">
        <v>15.231999999999999</v>
      </c>
      <c r="K12">
        <v>30.988</v>
      </c>
      <c r="L12">
        <v>56.991999999999997</v>
      </c>
      <c r="M12">
        <v>89.899000000000001</v>
      </c>
      <c r="N12">
        <v>130.80799999999999</v>
      </c>
    </row>
    <row r="13" spans="1:14">
      <c r="A13" t="s">
        <v>27</v>
      </c>
      <c r="B13">
        <v>2.4649999999999999</v>
      </c>
      <c r="C13">
        <v>7.1459999999999999</v>
      </c>
      <c r="D13">
        <v>23.526</v>
      </c>
      <c r="E13">
        <v>91.814999999999998</v>
      </c>
      <c r="F13">
        <v>266.83800000000002</v>
      </c>
      <c r="I13" t="s">
        <v>27</v>
      </c>
      <c r="J13">
        <v>15.308</v>
      </c>
      <c r="K13">
        <v>31.588999999999999</v>
      </c>
      <c r="L13">
        <v>55.859000000000002</v>
      </c>
      <c r="M13">
        <v>90.414000000000001</v>
      </c>
      <c r="N13">
        <v>131.46700000000001</v>
      </c>
    </row>
    <row r="14" spans="1:14">
      <c r="A14" t="s">
        <v>28</v>
      </c>
      <c r="B14">
        <v>2.3820000000000001</v>
      </c>
      <c r="C14">
        <v>7.149</v>
      </c>
      <c r="D14">
        <v>24.54</v>
      </c>
      <c r="E14">
        <v>90.043999999999997</v>
      </c>
      <c r="F14">
        <v>266.37900000000002</v>
      </c>
      <c r="I14" t="s">
        <v>28</v>
      </c>
      <c r="J14">
        <v>15.343999999999999</v>
      </c>
      <c r="K14">
        <v>33.768000000000001</v>
      </c>
      <c r="L14">
        <v>56.176000000000002</v>
      </c>
      <c r="M14">
        <v>89.471000000000004</v>
      </c>
      <c r="N14">
        <v>132.25800000000001</v>
      </c>
    </row>
    <row r="15" spans="1:14">
      <c r="A15" t="s">
        <v>29</v>
      </c>
      <c r="B15">
        <v>2.3919999999999999</v>
      </c>
      <c r="C15">
        <v>7.0940000000000003</v>
      </c>
      <c r="D15">
        <v>24.248000000000001</v>
      </c>
      <c r="E15">
        <v>89.688000000000002</v>
      </c>
      <c r="F15">
        <v>264.62299999999999</v>
      </c>
      <c r="I15" t="s">
        <v>29</v>
      </c>
      <c r="J15">
        <v>15.772</v>
      </c>
      <c r="K15">
        <v>32.258000000000003</v>
      </c>
      <c r="L15">
        <v>56.59</v>
      </c>
      <c r="M15">
        <v>89.741</v>
      </c>
      <c r="N15">
        <v>133.68899999999999</v>
      </c>
    </row>
    <row r="16" spans="1:14">
      <c r="A16" t="s">
        <v>30</v>
      </c>
      <c r="B16">
        <v>2.419</v>
      </c>
      <c r="C16">
        <v>7.194</v>
      </c>
      <c r="D16">
        <v>25.588999999999999</v>
      </c>
      <c r="E16">
        <v>88.718000000000004</v>
      </c>
      <c r="F16">
        <v>262.64699999999999</v>
      </c>
      <c r="I16" t="s">
        <v>30</v>
      </c>
      <c r="J16">
        <v>15.452</v>
      </c>
      <c r="K16">
        <v>31.245999999999999</v>
      </c>
      <c r="L16">
        <v>56.012</v>
      </c>
      <c r="M16">
        <v>88.92</v>
      </c>
      <c r="N16">
        <v>129.10400000000001</v>
      </c>
    </row>
    <row r="17" spans="1:14">
      <c r="A17" t="s">
        <v>10</v>
      </c>
      <c r="B17">
        <f>AVERAGE(B12:B16)</f>
        <v>2.411</v>
      </c>
      <c r="C17">
        <f t="shared" ref="C17:F17" si="2">AVERAGE(C12:C16)</f>
        <v>7.1466000000000012</v>
      </c>
      <c r="D17">
        <f t="shared" si="2"/>
        <v>24.297000000000001</v>
      </c>
      <c r="E17">
        <f t="shared" si="2"/>
        <v>89.819800000000001</v>
      </c>
      <c r="F17">
        <f t="shared" si="2"/>
        <v>265.3954</v>
      </c>
      <c r="I17" t="s">
        <v>10</v>
      </c>
      <c r="J17">
        <f t="shared" ref="J17:M17" si="3">AVERAGE(J12:J16)</f>
        <v>15.421600000000002</v>
      </c>
      <c r="K17">
        <f t="shared" si="3"/>
        <v>31.969800000000003</v>
      </c>
      <c r="L17">
        <f t="shared" si="3"/>
        <v>56.325800000000001</v>
      </c>
      <c r="M17">
        <f t="shared" si="3"/>
        <v>89.688999999999993</v>
      </c>
      <c r="N17">
        <f>AVERAGE(N12:N16)</f>
        <v>131.46520000000001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2025-12-09T16:32:21Z</dcterms:created>
  <dcterms:modified xsi:type="dcterms:W3CDTF">2025-12-10T23:57:09Z</dcterms:modified>
  <cp:category/>
  <cp:contentStatus/>
</cp:coreProperties>
</file>